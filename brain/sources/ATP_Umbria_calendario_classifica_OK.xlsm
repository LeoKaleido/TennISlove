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table+xml" PartName="/xl/tables/table1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Classifica" sheetId="1" r:id="rId4"/>
    <sheet state="visible" name="Calendario" sheetId="2" r:id="rId5"/>
    <sheet state="visible" name="Calcoli" sheetId="3" r:id="rId6"/>
  </sheets>
  <definedNames/>
  <calcPr/>
  <extLst>
    <ext uri="GoogleSheetsCustomDataVersion2">
      <go:sheetsCustomData xmlns:go="http://customooxmlschemas.google.com/" r:id="rId7" roundtripDataChecksum="333fL+1Avu/5Wup8hWl18l6IUAGGGPRCiSisa5o4bKI="/>
    </ext>
  </extLst>
</workbook>
</file>

<file path=xl/sharedStrings.xml><?xml version="1.0" encoding="utf-8"?>
<sst xmlns="http://schemas.openxmlformats.org/spreadsheetml/2006/main" count="350" uniqueCount="202">
  <si>
    <t>ATP UMBRIA TOURNAMENT</t>
  </si>
  <si>
    <t>Amici Tennis Pre-cena | Classifica del girone di andata 2026/27</t>
  </si>
  <si>
    <t>CALCOLI DELLA CLASSIFICA</t>
  </si>
  <si>
    <t>Partite registrate</t>
  </si>
  <si>
    <t>Formule di supporto: statistiche, scontri diretti, parità. Non occorre modificare questo foglio.</t>
  </si>
  <si>
    <t>Punti attuali degli avversari →</t>
  </si>
  <si>
    <t>su 66</t>
  </si>
  <si>
    <t>Risultati da verificare</t>
  </si>
  <si>
    <t>CALENDARIO E RISULTATI</t>
  </si>
  <si>
    <t>Pos.</t>
  </si>
  <si>
    <t>Giocatore</t>
  </si>
  <si>
    <t>Punti</t>
  </si>
  <si>
    <t>Giocate</t>
  </si>
  <si>
    <t>Vinte</t>
  </si>
  <si>
    <t>Perse</t>
  </si>
  <si>
    <t>Senza esito</t>
  </si>
  <si>
    <t>Game fatti</t>
  </si>
  <si>
    <t>Game subiti</t>
  </si>
  <si>
    <t>Diff. game</t>
  </si>
  <si>
    <t>Bonus e comp.</t>
  </si>
  <si>
    <t>Zona attuale</t>
  </si>
  <si>
    <t>Compila le celle gialle. A / B sono i due giocatori indicati nella stessa riga.</t>
  </si>
  <si>
    <t>Conferma con Conclusa o Tempo scaduto: solo i risultati con messaggio OK assegnano punti.</t>
  </si>
  <si>
    <t>Fonte: regolamento ATP Umbria Tournament, punteggio aggiornato il 21/10/2026. Calendario invariato.</t>
  </si>
  <si>
    <t>Differenza</t>
  </si>
  <si>
    <t>Pari merito</t>
  </si>
  <si>
    <t>Criterio diretto</t>
  </si>
  <si>
    <t>Diff. spareggio</t>
  </si>
  <si>
    <t>Giornata</t>
  </si>
  <si>
    <t>Posizione</t>
  </si>
  <si>
    <t>Ordine righe</t>
  </si>
  <si>
    <t>Pt vs Giuseppe</t>
  </si>
  <si>
    <t>Pt vs Marco</t>
  </si>
  <si>
    <t>Pt vs Alessandro C</t>
  </si>
  <si>
    <t>Pt vs Alessandro P</t>
  </si>
  <si>
    <t>Pt vs Francesco</t>
  </si>
  <si>
    <t>Pt vs Fabrizio</t>
  </si>
  <si>
    <t>Pt vs Alessio</t>
  </si>
  <si>
    <t>Pt vs Leonardo</t>
  </si>
  <si>
    <t>Pt vs Gennaro</t>
  </si>
  <si>
    <t>Pt vs Federico</t>
  </si>
  <si>
    <t>Pt vs Michele</t>
  </si>
  <si>
    <t>Pt vs Luca</t>
  </si>
  <si>
    <t>V vs Giuseppe</t>
  </si>
  <si>
    <t>V vs Marco</t>
  </si>
  <si>
    <t>V vs Alessandro C</t>
  </si>
  <si>
    <t>V vs Alessandro P</t>
  </si>
  <si>
    <t>V vs Francesco</t>
  </si>
  <si>
    <t>V vs Fabrizio</t>
  </si>
  <si>
    <t>V vs Alessio</t>
  </si>
  <si>
    <t>Dal</t>
  </si>
  <si>
    <t>V vs Leonardo</t>
  </si>
  <si>
    <t>V vs Gennaro</t>
  </si>
  <si>
    <t>V vs Federico</t>
  </si>
  <si>
    <t>V vs Michele</t>
  </si>
  <si>
    <t>V vs Luca</t>
  </si>
  <si>
    <t>Al</t>
  </si>
  <si>
    <t>Giuseppe De Francesca</t>
  </si>
  <si>
    <t>Giocatore A</t>
  </si>
  <si>
    <t>Giocatore B</t>
  </si>
  <si>
    <t>Stato</t>
  </si>
  <si>
    <t>Set 1 A</t>
  </si>
  <si>
    <t>Set 1 B</t>
  </si>
  <si>
    <t>Set 2 A</t>
  </si>
  <si>
    <t>Set 2 B</t>
  </si>
  <si>
    <t>STB A</t>
  </si>
  <si>
    <t>STB B</t>
  </si>
  <si>
    <t>Vincitore</t>
  </si>
  <si>
    <t>Punti A</t>
  </si>
  <si>
    <t>Punti B</t>
  </si>
  <si>
    <t>Messaggio</t>
  </si>
  <si>
    <t>Game A</t>
  </si>
  <si>
    <t>Game B</t>
  </si>
  <si>
    <t>Bonus A</t>
  </si>
  <si>
    <t>Bonus B</t>
  </si>
  <si>
    <t>Esito set 1</t>
  </si>
  <si>
    <t>Esito set 2</t>
  </si>
  <si>
    <t>Esito STB</t>
  </si>
  <si>
    <t>Score valido</t>
  </si>
  <si>
    <t>Vinc. tecnico</t>
  </si>
  <si>
    <t>Registrata</t>
  </si>
  <si>
    <t>ID incontro</t>
  </si>
  <si>
    <t>Compensazione A</t>
  </si>
  <si>
    <t>Compensazione B</t>
  </si>
  <si>
    <t>Luca Ceccarelli</t>
  </si>
  <si>
    <t>Conclusa</t>
  </si>
  <si>
    <t>G01-01</t>
  </si>
  <si>
    <t>Marco Rondoni</t>
  </si>
  <si>
    <t>Michele Giancarlo</t>
  </si>
  <si>
    <t>G01-02</t>
  </si>
  <si>
    <t>Alessandro Cofanelli</t>
  </si>
  <si>
    <t>Federico Piccioni</t>
  </si>
  <si>
    <t>G01-03</t>
  </si>
  <si>
    <t>Alessandro Piccioni</t>
  </si>
  <si>
    <t>Gennaro Carucci</t>
  </si>
  <si>
    <t>G01-04</t>
  </si>
  <si>
    <t>Francesco Artegiani</t>
  </si>
  <si>
    <t>Leonardo Panfili</t>
  </si>
  <si>
    <t>G01-05</t>
  </si>
  <si>
    <t>Fabrizio Ricci</t>
  </si>
  <si>
    <t>Alessio Panfili</t>
  </si>
  <si>
    <t>G01-06</t>
  </si>
  <si>
    <t>G02-01</t>
  </si>
  <si>
    <t>COME INSERIRE I RISULTATI</t>
  </si>
  <si>
    <t>1. Apri Calendario</t>
  </si>
  <si>
    <t>Compila soltanto le celle gialle: stato, game dei due set e punti del super tie break.</t>
  </si>
  <si>
    <t>2. Set regolari</t>
  </si>
  <si>
    <t>Inserisci i game di A e B in colonne separate, rispettando i nomi sulla riga.</t>
  </si>
  <si>
    <t>3. Super tie break</t>
  </si>
  <si>
    <t>Compila STB A / STB B solo sul punteggio di un set pari (es. 10 e 8).</t>
  </si>
  <si>
    <t>4. Conferma la partita</t>
  </si>
  <si>
    <t>Scegli Conclusa, oppure Tempo scaduto se dopo due ore non c’è un vincitore.</t>
  </si>
  <si>
    <t>5. Zero e celle vuote</t>
  </si>
  <si>
    <t>Inserisci 0 quando il punteggio è zero. Lascia vuoti i set / tie break non iniziati.</t>
  </si>
  <si>
    <t>6. Controlla il messaggio</t>
  </si>
  <si>
    <t>Solo le righe con messaggio OK entrano in classifica. Il resto resta da completare.</t>
  </si>
  <si>
    <t>PUNTEGGIO E PARITÀ</t>
  </si>
  <si>
    <t>G02-02</t>
  </si>
  <si>
    <t>Bonus partita</t>
  </si>
  <si>
    <t>In 2 set: 3–0. Al terzo: 2 punti vittoria + 1 per il super tie break al vincitore; 0 allo sconfitto.</t>
  </si>
  <si>
    <t>Game</t>
  </si>
  <si>
    <t>Ai bonus si sommano i game vinti e la compensazione. I singoli punti del super tie break non sono game.</t>
  </si>
  <si>
    <t>Tie break di set</t>
  </si>
  <si>
    <t>Un set terminato 7–6 conta 7 e 6 game; i singoli punti del tie break non si inseriscono.</t>
  </si>
  <si>
    <t>Due giocatori a pari punti</t>
  </si>
  <si>
    <t>Prevale chi ha vinto lo scontro diretto. Se manca un vincitore, restano ex aequo.</t>
  </si>
  <si>
    <t>Tre o più a pari punti</t>
  </si>
  <si>
    <t>Punti negli incontri tra i pari merito, poi differenza game complessiva.</t>
  </si>
  <si>
    <t>Parità ancora irrisolta</t>
  </si>
  <si>
    <t>Stessa posizione. L’ordine delle righe è quello dell’elenco iniziale, senza valore di spareggio.</t>
  </si>
  <si>
    <t>Classifica provvisoria</t>
  </si>
  <si>
    <t>Le parità sono ricalcolate a ogni risultato; prima della fine del girone l’ordine è provvisorio.</t>
  </si>
  <si>
    <t>Dati da completare</t>
  </si>
  <si>
    <t>Un nuovo risultato valido aggiorna automaticamente la classifica; non occorre ordinare a mano.</t>
  </si>
  <si>
    <t>Nota di gioco</t>
  </si>
  <si>
    <t>Sul 40–40: primo vantaggio normale, poi killer point se si torna in parità.</t>
  </si>
  <si>
    <t>Calendario</t>
  </si>
  <si>
    <t>Pausa dal 19/12/2026 al 09/01/2027. Giornata 10 entro il 18/12; giornata 11 dall’11/01.</t>
  </si>
  <si>
    <t>Compensazione al terzo</t>
  </si>
  <si>
    <t>Se il vincitore ha meno game dell’avversario, riceve punti pari alla differenza. Altrimenti: 0.</t>
  </si>
  <si>
    <t>Esempio: 0–6, 6–4, 10–8</t>
  </si>
  <si>
    <t>Vincitore: 6 game + 4 di compensazione + 2 + 1 = 13 punti. Sconfitto: 10 game = 10 punti.</t>
  </si>
  <si>
    <t>Margine minimo</t>
  </si>
  <si>
    <t>Chi vince al terzo ottiene almeno 3 punti in più. Il conteggio si applica anche agli incontri già giocati.</t>
  </si>
  <si>
    <t>G02-03</t>
  </si>
  <si>
    <t>G02-04</t>
  </si>
  <si>
    <t>G02-05</t>
  </si>
  <si>
    <t>G02-06</t>
  </si>
  <si>
    <t>G03-01</t>
  </si>
  <si>
    <t>G03-02</t>
  </si>
  <si>
    <t>G03-03</t>
  </si>
  <si>
    <t>G03-04</t>
  </si>
  <si>
    <t>G03-05</t>
  </si>
  <si>
    <t>G03-06</t>
  </si>
  <si>
    <t>G04-01</t>
  </si>
  <si>
    <t>G04-02</t>
  </si>
  <si>
    <t>G04-03</t>
  </si>
  <si>
    <t>G04-04</t>
  </si>
  <si>
    <t>G04-05</t>
  </si>
  <si>
    <t>G04-06</t>
  </si>
  <si>
    <t>G05-01</t>
  </si>
  <si>
    <t>G05-02</t>
  </si>
  <si>
    <t>G05-03</t>
  </si>
  <si>
    <t>G05-04</t>
  </si>
  <si>
    <t>G05-05</t>
  </si>
  <si>
    <t>G05-06</t>
  </si>
  <si>
    <t>G06-01</t>
  </si>
  <si>
    <t>G06-02</t>
  </si>
  <si>
    <t>G06-03</t>
  </si>
  <si>
    <t>G06-04</t>
  </si>
  <si>
    <t>G06-05</t>
  </si>
  <si>
    <t>G06-06</t>
  </si>
  <si>
    <t>G07-01</t>
  </si>
  <si>
    <t>G07-02</t>
  </si>
  <si>
    <t>G07-03</t>
  </si>
  <si>
    <t>G07-04</t>
  </si>
  <si>
    <t>G07-05</t>
  </si>
  <si>
    <t>G07-06</t>
  </si>
  <si>
    <t>G08-01</t>
  </si>
  <si>
    <t>G08-02</t>
  </si>
  <si>
    <t>G08-03</t>
  </si>
  <si>
    <t>G08-04</t>
  </si>
  <si>
    <t>G08-05</t>
  </si>
  <si>
    <t>G08-06</t>
  </si>
  <si>
    <t>G09-01</t>
  </si>
  <si>
    <t>G09-02</t>
  </si>
  <si>
    <t>G09-03</t>
  </si>
  <si>
    <t>G09-04</t>
  </si>
  <si>
    <t>G09-05</t>
  </si>
  <si>
    <t>G09-06</t>
  </si>
  <si>
    <t>G10-01</t>
  </si>
  <si>
    <t>G10-02</t>
  </si>
  <si>
    <t>G10-03</t>
  </si>
  <si>
    <t>G10-04</t>
  </si>
  <si>
    <t>G10-05</t>
  </si>
  <si>
    <t>G10-06</t>
  </si>
  <si>
    <t>G11-01</t>
  </si>
  <si>
    <t>G11-02</t>
  </si>
  <si>
    <t>G11-03</t>
  </si>
  <si>
    <t>G11-04</t>
  </si>
  <si>
    <t>G11-05</t>
  </si>
  <si>
    <t>G11-06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</si>
</sst>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0&quot;°&quot;"/>
    <numFmt numFmtId="165" formatCode="dd/mm/yyyy"/>
  </numFmts>
  <fonts count="7">
    <font>
      <sz val="11.0"/>
      <color rgb="FF000000"/>
      <name val="Carlito"/>
      <scheme val="minor"/>
    </font>
    <font>
      <sz val="10.0"/>
      <color rgb="FF071923"/>
      <name val="Arial"/>
    </font>
    <font>
      <b/>
      <sz val="16.0"/>
      <color rgb="FF071923"/>
      <name val="Arial"/>
    </font>
    <font>
      <b/>
      <sz val="10.0"/>
      <color rgb="FF207D69"/>
      <name val="Arial"/>
    </font>
    <font>
      <b/>
      <sz val="10.0"/>
      <color rgb="FFFFFFFF"/>
      <name val="Arial"/>
    </font>
    <font/>
    <font>
      <b/>
      <sz val="10.0"/>
      <color rgb="FF53656B"/>
      <name val="Arial"/>
    </font>
  </fonts>
  <fills count="5">
    <fill>
      <patternFill patternType="none"/>
    </fill>
    <fill>
      <patternFill patternType="lightGray"/>
    </fill>
    <fill>
      <patternFill patternType="solid">
        <fgColor rgb="FFF1F6F3"/>
        <bgColor rgb="FFF1F6F3"/>
      </patternFill>
    </fill>
    <fill>
      <patternFill patternType="solid">
        <fgColor rgb="FF071923"/>
        <bgColor rgb="FF071923"/>
      </patternFill>
    </fill>
    <fill>
      <patternFill patternType="solid">
        <fgColor rgb="FFFFF1CE"/>
        <bgColor rgb="FFFFF1CE"/>
      </patternFill>
    </fill>
  </fills>
  <borders count="7">
    <border/>
    <border>
      <left/>
      <right/>
      <top/>
      <bottom/>
    </border>
    <border>
      <top style="medium">
        <color rgb="FFA7BCB3"/>
      </top>
    </border>
    <border>
      <left/>
      <right/>
      <top style="medium">
        <color rgb="FFA7BCB3"/>
      </top>
      <bottom/>
    </border>
    <border>
      <left/>
      <top/>
      <bottom/>
    </border>
    <border>
      <top/>
      <bottom/>
    </border>
    <border>
      <right/>
      <top/>
      <bottom/>
    </border>
  </borders>
  <cellStyleXfs count="1">
    <xf borderId="0" fillId="0" fontId="0" numFmtId="0" applyAlignment="1" applyFont="1"/>
  </cellStyleXfs>
  <cellXfs count="45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vertical="center"/>
    </xf>
    <xf borderId="0" fillId="0" fontId="2" numFmtId="0" xfId="0" applyAlignment="1" applyFont="1">
      <alignment vertical="center"/>
    </xf>
    <xf borderId="1" fillId="2" fontId="1" numFmtId="0" xfId="0" applyAlignment="1" applyBorder="1" applyFill="1" applyFont="1">
      <alignment vertical="center"/>
    </xf>
    <xf borderId="1" fillId="2" fontId="3" numFmtId="0" xfId="0" applyAlignment="1" applyBorder="1" applyFill="1" applyFont="1">
      <alignment vertical="center"/>
    </xf>
    <xf borderId="1" fillId="3" fontId="4" numFmtId="0" xfId="0" applyAlignment="1" applyBorder="1" applyFill="1" applyFont="1">
      <alignment horizontal="center" shrinkToFit="0" vertical="center" wrapText="1"/>
    </xf>
    <xf borderId="1" fillId="2" fontId="1" numFmtId="164" xfId="0" applyAlignment="1" applyBorder="1" applyFill="1" applyFont="1" applyNumberFormat="1">
      <alignment vertical="center"/>
    </xf>
    <xf borderId="1" fillId="2" fontId="3" numFmtId="1" xfId="0" applyAlignment="1" applyBorder="1" applyFill="1" applyFont="1" applyNumberFormat="1">
      <alignment vertical="center"/>
    </xf>
    <xf borderId="1" fillId="2" fontId="1" numFmtId="1" xfId="0" applyAlignment="1" applyBorder="1" applyFill="1" applyFont="1" applyNumberFormat="1">
      <alignment vertical="center"/>
    </xf>
    <xf borderId="1" fillId="3" fontId="4" numFmtId="0" xfId="0" applyAlignment="1" applyBorder="1" applyFill="1" applyFont="1">
      <alignment horizontal="center" readingOrder="0" shrinkToFit="0" vertical="center" wrapText="1"/>
    </xf>
    <xf borderId="1" fillId="2" fontId="1" numFmtId="0" xfId="0" applyAlignment="1" applyBorder="1" applyFill="1" applyFont="1">
      <alignment readingOrder="0" vertical="center"/>
    </xf>
    <xf borderId="2" fillId="0" fontId="1" numFmtId="0" xfId="0" applyAlignment="1" applyBorder="1" applyFont="1">
      <alignment shrinkToFit="0" vertical="center" wrapText="0"/>
    </xf>
    <xf borderId="2" fillId="0" fontId="1" numFmtId="165" xfId="0" applyAlignment="1" applyBorder="1" applyFont="1" applyNumberFormat="1">
      <alignment shrinkToFit="0" vertical="center" wrapText="0"/>
    </xf>
    <xf borderId="2" fillId="0" fontId="1" numFmtId="0" xfId="0" applyAlignment="1" applyBorder="1" applyFont="1">
      <alignment readingOrder="0" shrinkToFit="0" vertical="center" wrapText="0"/>
    </xf>
    <xf borderId="3" fillId="4" fontId="1" numFmtId="0" xfId="0" applyAlignment="1" applyBorder="1" applyFill="1" applyFont="1">
      <alignment readingOrder="0" shrinkToFit="0" vertical="center" wrapText="0"/>
    </xf>
    <xf borderId="3" fillId="4" fontId="1" numFmtId="0" xfId="0" applyAlignment="1" applyBorder="1" applyFill="1" applyFont="1">
      <alignment horizontal="center" readingOrder="0" shrinkToFit="0" vertical="center" wrapText="0"/>
    </xf>
    <xf borderId="0" fillId="0" fontId="1" numFmtId="164" xfId="0" applyAlignment="1" applyFont="1" applyNumberFormat="1">
      <alignment vertical="center"/>
    </xf>
    <xf borderId="3" fillId="4" fontId="1" numFmtId="0" xfId="0" applyAlignment="1" applyBorder="1" applyFill="1" applyFont="1">
      <alignment horizontal="center" shrinkToFit="0" vertical="center" wrapText="0"/>
    </xf>
    <xf borderId="0" fillId="0" fontId="3" numFmtId="1" xfId="0" applyAlignment="1" applyFont="1" applyNumberFormat="1">
      <alignment vertical="center"/>
    </xf>
    <xf borderId="0" fillId="0" fontId="1" numFmtId="1" xfId="0" applyAlignment="1" applyFont="1" applyNumberFormat="1">
      <alignment vertical="center"/>
    </xf>
    <xf borderId="2" fillId="0" fontId="3" numFmtId="0" xfId="0" applyAlignment="1" applyBorder="1" applyFont="1">
      <alignment shrinkToFit="0" vertical="center" wrapText="0"/>
    </xf>
    <xf borderId="0" fillId="0" fontId="1" numFmtId="0" xfId="0" applyAlignment="1" applyFont="1">
      <alignment shrinkToFit="0" vertical="center" wrapText="0"/>
    </xf>
    <xf borderId="0" fillId="0" fontId="1" numFmtId="165" xfId="0" applyAlignment="1" applyFont="1" applyNumberFormat="1">
      <alignment shrinkToFit="0" vertical="center" wrapText="0"/>
    </xf>
    <xf borderId="0" fillId="0" fontId="1" numFmtId="0" xfId="0" applyAlignment="1" applyFont="1">
      <alignment readingOrder="0" shrinkToFit="0" vertical="center" wrapText="0"/>
    </xf>
    <xf borderId="1" fillId="4" fontId="1" numFmtId="0" xfId="0" applyAlignment="1" applyBorder="1" applyFill="1" applyFont="1">
      <alignment readingOrder="0" shrinkToFit="0" vertical="center" wrapText="0"/>
    </xf>
    <xf borderId="1" fillId="4" fontId="1" numFmtId="0" xfId="0" applyAlignment="1" applyBorder="1" applyFill="1" applyFont="1">
      <alignment horizontal="center" readingOrder="0" shrinkToFit="0" vertical="center" wrapText="0"/>
    </xf>
    <xf borderId="1" fillId="4" fontId="1" numFmtId="0" xfId="0" applyAlignment="1" applyBorder="1" applyFill="1" applyFont="1">
      <alignment horizontal="center" shrinkToFit="0" vertical="center" wrapText="0"/>
    </xf>
    <xf borderId="0" fillId="0" fontId="3" numFmtId="0" xfId="0" applyAlignment="1" applyFont="1">
      <alignment shrinkToFit="0" vertical="center" wrapText="0"/>
    </xf>
    <xf borderId="0" fillId="0" fontId="1" numFmtId="0" xfId="0" applyAlignment="1" applyFont="1">
      <alignment readingOrder="0" vertical="center"/>
    </xf>
    <xf borderId="3" fillId="2" fontId="1" numFmtId="0" xfId="0" applyAlignment="1" applyBorder="1" applyFill="1" applyFont="1">
      <alignment shrinkToFit="0" vertical="center" wrapText="0"/>
    </xf>
    <xf borderId="3" fillId="2" fontId="1" numFmtId="165" xfId="0" applyAlignment="1" applyBorder="1" applyFill="1" applyFont="1" applyNumberFormat="1">
      <alignment shrinkToFit="0" vertical="center" wrapText="0"/>
    </xf>
    <xf borderId="3" fillId="2" fontId="1" numFmtId="0" xfId="0" applyAlignment="1" applyBorder="1" applyFill="1" applyFont="1">
      <alignment readingOrder="0" shrinkToFit="0" vertical="center" wrapText="0"/>
    </xf>
    <xf borderId="3" fillId="4" fontId="1" numFmtId="0" xfId="0" applyAlignment="1" applyBorder="1" applyFill="1" applyFont="1">
      <alignment shrinkToFit="0" vertical="center" wrapText="0"/>
    </xf>
    <xf borderId="3" fillId="2" fontId="3" numFmtId="0" xfId="0" applyAlignment="1" applyBorder="1" applyFill="1" applyFont="1">
      <alignment shrinkToFit="0" vertical="center" wrapText="0"/>
    </xf>
    <xf borderId="1" fillId="2" fontId="1" numFmtId="0" xfId="0" applyAlignment="1" applyBorder="1" applyFill="1" applyFont="1">
      <alignment shrinkToFit="0" vertical="center" wrapText="0"/>
    </xf>
    <xf borderId="1" fillId="2" fontId="1" numFmtId="165" xfId="0" applyAlignment="1" applyBorder="1" applyFill="1" applyFont="1" applyNumberFormat="1">
      <alignment shrinkToFit="0" vertical="center" wrapText="0"/>
    </xf>
    <xf borderId="1" fillId="2" fontId="1" numFmtId="0" xfId="0" applyAlignment="1" applyBorder="1" applyFill="1" applyFont="1">
      <alignment readingOrder="0" shrinkToFit="0" vertical="center" wrapText="0"/>
    </xf>
    <xf borderId="1" fillId="2" fontId="3" numFmtId="0" xfId="0" applyAlignment="1" applyBorder="1" applyFill="1" applyFont="1">
      <alignment shrinkToFit="0" vertical="center" wrapText="0"/>
    </xf>
    <xf borderId="4" fillId="3" fontId="4" numFmtId="0" xfId="0" applyAlignment="1" applyBorder="1" applyFill="1" applyFont="1">
      <alignment vertical="center"/>
    </xf>
    <xf borderId="5" fillId="0" fontId="5" numFmtId="0" xfId="0" applyBorder="1" applyFont="1"/>
    <xf borderId="6" fillId="0" fontId="5" numFmtId="0" xfId="0" applyBorder="1" applyFont="1"/>
    <xf borderId="0" fillId="0" fontId="6" numFmtId="0" xfId="0" applyAlignment="1" applyFont="1">
      <alignment vertical="center"/>
    </xf>
    <xf borderId="0" fillId="0" fontId="1" numFmtId="0" xfId="0" applyAlignment="1" applyFont="1">
      <alignment shrinkToFit="0" vertical="center" wrapText="1"/>
    </xf>
    <xf borderId="1" fillId="4" fontId="1" numFmtId="0" xfId="0" applyAlignment="1" applyBorder="1" applyFill="1" applyFont="1">
      <alignment shrinkToFit="0" vertical="center" wrapText="0"/>
    </xf>
    <xf borderId="0" fillId="0" fontId="6" numFmtId="0" xfId="0" applyAlignment="1" applyFont="1">
      <alignment shrinkToFit="0" vertical="center" wrapText="1"/>
    </xf>
  </cellXfs>
  <cellStyles count="1">
    <cellStyle xfId="0" name="Normal" builtinId="0"/>
  </cellStyles>
  <dxfs count="7">
    <dxf>
      <font/>
      <fill>
        <patternFill patternType="none"/>
      </fill>
      <border/>
    </dxf>
    <dxf>
      <font/>
      <fill>
        <patternFill patternType="solid">
          <fgColor theme="4"/>
          <bgColor theme="4"/>
        </patternFill>
      </fill>
      <border/>
    </dxf>
    <dxf>
      <font/>
      <fill>
        <patternFill patternType="solid">
          <fgColor rgb="FFC1E4F5"/>
          <bgColor rgb="FFC1E4F5"/>
        </patternFill>
      </fill>
      <border/>
    </dxf>
    <dxf>
      <font/>
      <fill>
        <patternFill patternType="solid">
          <fgColor theme="0"/>
          <bgColor theme="0"/>
        </patternFill>
      </fill>
      <border/>
    </dxf>
    <dxf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 style="thin">
          <color rgb="FFD4D4D4"/>
        </vertical>
        <horizontal style="thin">
          <color rgb="FFD4D4D4"/>
        </horizontal>
      </border>
    </dxf>
    <dxf>
      <font/>
      <fill>
        <patternFill patternType="solid">
          <fgColor rgb="FFE7F4EC"/>
          <bgColor rgb="FFE7F4EC"/>
        </patternFill>
      </fill>
      <border/>
    </dxf>
    <dxf>
      <font>
        <b/>
        <color rgb="FFA62626"/>
      </font>
      <fill>
        <patternFill patternType="solid">
          <fgColor rgb="FFFCE0DE"/>
          <bgColor rgb="FFFCE0DE"/>
        </patternFill>
      </fill>
      <border/>
    </dxf>
  </dxfs>
  <tableStyles count="1">
    <tableStyle count="4" pivot="0" name="Calendario-style">
      <tableStyleElement dxfId="1" type="headerRow"/>
      <tableStyleElement dxfId="2" type="firstRowStripe"/>
      <tableStyleElement dxfId="3" type="secondRowStripe"/>
      <tableStyleElement dxfId="4" size="0" type="wholeTabl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ables/table1.xml><?xml version="1.0" encoding="utf-8"?>
<table xmlns="http://schemas.openxmlformats.org/spreadsheetml/2006/main" ref="A7:P73" displayName="PartiteATP" name="PartiteATP" id="1">
  <tableColumns count="16">
    <tableColumn name="Giornata" id="1"/>
    <tableColumn name="Dal" id="2"/>
    <tableColumn name="Al" id="3"/>
    <tableColumn name="Giocatore A" id="4"/>
    <tableColumn name="Giocatore B" id="5"/>
    <tableColumn name="Stato" id="6"/>
    <tableColumn name="Set 1 A" id="7"/>
    <tableColumn name="Set 1 B" id="8"/>
    <tableColumn name="Set 2 A" id="9"/>
    <tableColumn name="Set 2 B" id="10"/>
    <tableColumn name="STB A" id="11"/>
    <tableColumn name="STB B" id="12"/>
    <tableColumn name="Vincitore" id="13"/>
    <tableColumn name="Punti A" id="14"/>
    <tableColumn name="Punti B" id="15"/>
    <tableColumn name="Messaggio" id="16"/>
  </tableColumns>
  <tableStyleInfo name="Calendario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Relationship Id="rId3" Type="http://schemas.openxmlformats.org/officeDocument/2006/relationships/table" Target="../tables/table1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071923"/>
    <pageSetUpPr/>
  </sheetPr>
  <sheetViews>
    <sheetView showGridLines="0" workbookViewId="0"/>
  </sheetViews>
  <sheetFormatPr customHeight="1" defaultColWidth="12.63" defaultRowHeight="15.0"/>
  <cols>
    <col customWidth="1" min="1" max="1" width="7.0"/>
    <col customWidth="1" min="2" max="2" width="22.0"/>
    <col customWidth="1" min="3" max="11" width="12.0"/>
    <col customWidth="1" min="12" max="12" width="20.0"/>
    <col customWidth="1" min="13" max="26" width="8.63"/>
  </cols>
  <sheetData>
    <row r="1" ht="24.0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ht="24.0" customHeight="1">
      <c r="A2" s="2" t="s">
        <v>0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ht="24.0" customHeight="1">
      <c r="A3" s="1" t="s">
        <v>1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ht="24.0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ht="24.0" customHeight="1">
      <c r="A5" s="3" t="s">
        <v>3</v>
      </c>
      <c r="B5" s="3"/>
      <c r="C5" s="4">
        <f>SUM(Calendario!$Z$8:$Z$73)</f>
        <v>8</v>
      </c>
      <c r="D5" s="3" t="s">
        <v>6</v>
      </c>
      <c r="E5" s="3"/>
      <c r="F5" s="3" t="s">
        <v>7</v>
      </c>
      <c r="G5" s="3"/>
      <c r="H5" s="3"/>
      <c r="I5" s="3">
        <f>COUNTIFS(Calendario!$P$8:$P$73,"&lt;&gt;Da giocare",Calendario!$P$8:$P$73,"&lt;&gt;OK")</f>
        <v>0</v>
      </c>
      <c r="J5" s="3"/>
      <c r="K5" s="3"/>
      <c r="L5" s="3"/>
    </row>
    <row r="6" ht="24.0" customHeight="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ht="36.0" customHeight="1">
      <c r="A7" s="5" t="s">
        <v>9</v>
      </c>
      <c r="B7" s="5" t="s">
        <v>10</v>
      </c>
      <c r="C7" s="5" t="s">
        <v>11</v>
      </c>
      <c r="D7" s="5" t="s">
        <v>12</v>
      </c>
      <c r="E7" s="5" t="s">
        <v>13</v>
      </c>
      <c r="F7" s="5" t="s">
        <v>14</v>
      </c>
      <c r="G7" s="5" t="s">
        <v>15</v>
      </c>
      <c r="H7" s="5" t="s">
        <v>16</v>
      </c>
      <c r="I7" s="5" t="s">
        <v>17</v>
      </c>
      <c r="J7" s="5" t="s">
        <v>18</v>
      </c>
      <c r="K7" s="5" t="s">
        <v>19</v>
      </c>
      <c r="L7" s="5" t="s">
        <v>20</v>
      </c>
    </row>
    <row r="8" ht="24.0" customHeight="1">
      <c r="A8" s="6">
        <f t="array" ref="A8">INDEX(Calcoli!$N$8:$N$19,MATCH(1,Calcoli!$O$8:$O$19,0))</f>
        <v>1</v>
      </c>
      <c r="B8" s="3" t="str">
        <f t="array" ref="B8">INDEX(Calcoli!$A$8:$A$19,MATCH(1,Calcoli!$O$8:$O$19,0))</f>
        <v>Federico Piccioni</v>
      </c>
      <c r="C8" s="7">
        <f t="array" ref="C8">INDEX(Calcoli!$J$8:$J$19,MATCH(1,Calcoli!$O$8:$O$19,0))</f>
        <v>30</v>
      </c>
      <c r="D8" s="8">
        <f t="array" ref="D8">INDEX(Calcoli!$B$8:$B$19,MATCH(1,Calcoli!$O$8:$O$19,0))</f>
        <v>2</v>
      </c>
      <c r="E8" s="8">
        <f t="array" ref="E8">INDEX(Calcoli!$C$8:$C$19,MATCH(1,Calcoli!$O$8:$O$19,0))</f>
        <v>2</v>
      </c>
      <c r="F8" s="8">
        <f t="array" ref="F8">INDEX(Calcoli!$D$8:$D$19,MATCH(1,Calcoli!$O$8:$O$19,0))</f>
        <v>0</v>
      </c>
      <c r="G8" s="8">
        <f t="array" ref="G8">INDEX(Calcoli!$E$8:$E$19,MATCH(1,Calcoli!$O$8:$O$19,0))</f>
        <v>0</v>
      </c>
      <c r="H8" s="8">
        <f t="array" ref="H8">INDEX(Calcoli!$F$8:$F$19,MATCH(1,Calcoli!$O$8:$O$19,0))</f>
        <v>24</v>
      </c>
      <c r="I8" s="8">
        <f t="array" ref="I8">INDEX(Calcoli!$G$8:$G$19,MATCH(1,Calcoli!$O$8:$O$19,0))</f>
        <v>5</v>
      </c>
      <c r="J8" s="8">
        <f t="array" ref="J8">INDEX(Calcoli!$H$8:$H$19,MATCH(1,Calcoli!$O$8:$O$19,0))</f>
        <v>19</v>
      </c>
      <c r="K8" s="8">
        <f t="array" ref="K8">INDEX(Calcoli!$I$8:$I$19,MATCH(1,Calcoli!$O$8:$O$19,0))</f>
        <v>6</v>
      </c>
      <c r="L8" s="3" t="str">
        <f t="shared" ref="L8:L19" si="1">IF($C8=0,"Da definire",IF(AND(A8&lt;=8,A8+COUNTIFS($A$8:$A$19,A8)-1&gt;8),"Parità al taglio",IF(A8&lt;=8,"Top 8 provv.","Fuori Top 8")))</f>
        <v>Top 8 provv.</v>
      </c>
    </row>
    <row r="9" ht="24.0" customHeight="1">
      <c r="A9" s="16">
        <f t="array" ref="A9">INDEX(Calcoli!$N$8:$N$19,MATCH(2,Calcoli!$O$8:$O$19,0))</f>
        <v>2</v>
      </c>
      <c r="B9" s="1" t="str">
        <f t="array" ref="B9">INDEX(Calcoli!$A$8:$A$19,MATCH(2,Calcoli!$O$8:$O$19,0))</f>
        <v>Alessio Panfili</v>
      </c>
      <c r="C9" s="18">
        <f t="array" ref="C9">INDEX(Calcoli!$J$8:$J$19,MATCH(2,Calcoli!$O$8:$O$19,0))</f>
        <v>28</v>
      </c>
      <c r="D9" s="19">
        <f t="array" ref="D9">INDEX(Calcoli!$B$8:$B$19,MATCH(2,Calcoli!$O$8:$O$19,0))</f>
        <v>2</v>
      </c>
      <c r="E9" s="19">
        <f t="array" ref="E9">INDEX(Calcoli!$C$8:$C$19,MATCH(2,Calcoli!$O$8:$O$19,0))</f>
        <v>2</v>
      </c>
      <c r="F9" s="19">
        <f t="array" ref="F9">INDEX(Calcoli!$D$8:$D$19,MATCH(2,Calcoli!$O$8:$O$19,0))</f>
        <v>0</v>
      </c>
      <c r="G9" s="19">
        <f t="array" ref="G9">INDEX(Calcoli!$E$8:$E$19,MATCH(2,Calcoli!$O$8:$O$19,0))</f>
        <v>0</v>
      </c>
      <c r="H9" s="19">
        <f t="array" ref="H9">INDEX(Calcoli!$F$8:$F$19,MATCH(2,Calcoli!$O$8:$O$19,0))</f>
        <v>21</v>
      </c>
      <c r="I9" s="19">
        <f t="array" ref="I9">INDEX(Calcoli!$G$8:$G$19,MATCH(2,Calcoli!$O$8:$O$19,0))</f>
        <v>16</v>
      </c>
      <c r="J9" s="19">
        <f t="array" ref="J9">INDEX(Calcoli!$H$8:$H$19,MATCH(2,Calcoli!$O$8:$O$19,0))</f>
        <v>5</v>
      </c>
      <c r="K9" s="19">
        <f t="array" ref="K9">INDEX(Calcoli!$I$8:$I$19,MATCH(2,Calcoli!$O$8:$O$19,0))</f>
        <v>7</v>
      </c>
      <c r="L9" s="1" t="str">
        <f t="shared" si="1"/>
        <v>Top 8 provv.</v>
      </c>
    </row>
    <row r="10" ht="24.0" customHeight="1">
      <c r="A10" s="6">
        <f t="array" ref="A10">INDEX(Calcoli!$N$8:$N$19,MATCH(3,Calcoli!$O$8:$O$19,0))</f>
        <v>3</v>
      </c>
      <c r="B10" s="3" t="str">
        <f t="array" ref="B10">INDEX(Calcoli!$A$8:$A$19,MATCH(3,Calcoli!$O$8:$O$19,0))</f>
        <v>Alessandro Piccioni</v>
      </c>
      <c r="C10" s="7">
        <f t="array" ref="C10">INDEX(Calcoli!$J$8:$J$19,MATCH(3,Calcoli!$O$8:$O$19,0))</f>
        <v>25</v>
      </c>
      <c r="D10" s="8">
        <f t="array" ref="D10">INDEX(Calcoli!$B$8:$B$19,MATCH(3,Calcoli!$O$8:$O$19,0))</f>
        <v>2</v>
      </c>
      <c r="E10" s="8">
        <f t="array" ref="E10">INDEX(Calcoli!$C$8:$C$19,MATCH(3,Calcoli!$O$8:$O$19,0))</f>
        <v>1</v>
      </c>
      <c r="F10" s="8">
        <f t="array" ref="F10">INDEX(Calcoli!$D$8:$D$19,MATCH(3,Calcoli!$O$8:$O$19,0))</f>
        <v>1</v>
      </c>
      <c r="G10" s="8">
        <f t="array" ref="G10">INDEX(Calcoli!$E$8:$E$19,MATCH(3,Calcoli!$O$8:$O$19,0))</f>
        <v>0</v>
      </c>
      <c r="H10" s="8">
        <f t="array" ref="H10">INDEX(Calcoli!$F$8:$F$19,MATCH(3,Calcoli!$O$8:$O$19,0))</f>
        <v>22</v>
      </c>
      <c r="I10" s="8">
        <f t="array" ref="I10">INDEX(Calcoli!$G$8:$G$19,MATCH(3,Calcoli!$O$8:$O$19,0))</f>
        <v>14</v>
      </c>
      <c r="J10" s="8">
        <f t="array" ref="J10">INDEX(Calcoli!$H$8:$H$19,MATCH(3,Calcoli!$O$8:$O$19,0))</f>
        <v>8</v>
      </c>
      <c r="K10" s="8">
        <f t="array" ref="K10">INDEX(Calcoli!$I$8:$I$19,MATCH(3,Calcoli!$O$8:$O$19,0))</f>
        <v>3</v>
      </c>
      <c r="L10" s="3" t="str">
        <f t="shared" si="1"/>
        <v>Top 8 provv.</v>
      </c>
    </row>
    <row r="11" ht="24.0" customHeight="1">
      <c r="A11" s="16">
        <f t="array" ref="A11">INDEX(Calcoli!$N$8:$N$19,MATCH(4,Calcoli!$O$8:$O$19,0))</f>
        <v>4</v>
      </c>
      <c r="B11" s="1" t="str">
        <f t="array" ref="B11">INDEX(Calcoli!$A$8:$A$19,MATCH(4,Calcoli!$O$8:$O$19,0))</f>
        <v>Giuseppe De Francesca</v>
      </c>
      <c r="C11" s="18">
        <f t="array" ref="C11">INDEX(Calcoli!$J$8:$J$19,MATCH(4,Calcoli!$O$8:$O$19,0))</f>
        <v>15</v>
      </c>
      <c r="D11" s="19">
        <f t="array" ref="D11">INDEX(Calcoli!$B$8:$B$19,MATCH(4,Calcoli!$O$8:$O$19,0))</f>
        <v>1</v>
      </c>
      <c r="E11" s="19">
        <f t="array" ref="E11">INDEX(Calcoli!$C$8:$C$19,MATCH(4,Calcoli!$O$8:$O$19,0))</f>
        <v>1</v>
      </c>
      <c r="F11" s="19">
        <f t="array" ref="F11">INDEX(Calcoli!$D$8:$D$19,MATCH(4,Calcoli!$O$8:$O$19,0))</f>
        <v>0</v>
      </c>
      <c r="G11" s="19">
        <f t="array" ref="G11">INDEX(Calcoli!$E$8:$E$19,MATCH(4,Calcoli!$O$8:$O$19,0))</f>
        <v>0</v>
      </c>
      <c r="H11" s="19">
        <f t="array" ref="H11">INDEX(Calcoli!$F$8:$F$19,MATCH(4,Calcoli!$O$8:$O$19,0))</f>
        <v>12</v>
      </c>
      <c r="I11" s="19">
        <f t="array" ref="I11">INDEX(Calcoli!$G$8:$G$19,MATCH(4,Calcoli!$O$8:$O$19,0))</f>
        <v>4</v>
      </c>
      <c r="J11" s="19">
        <f t="array" ref="J11">INDEX(Calcoli!$H$8:$H$19,MATCH(4,Calcoli!$O$8:$O$19,0))</f>
        <v>8</v>
      </c>
      <c r="K11" s="19">
        <f t="array" ref="K11">INDEX(Calcoli!$I$8:$I$19,MATCH(4,Calcoli!$O$8:$O$19,0))</f>
        <v>3</v>
      </c>
      <c r="L11" s="1" t="str">
        <f t="shared" si="1"/>
        <v>Top 8 provv.</v>
      </c>
    </row>
    <row r="12" ht="24.0" customHeight="1">
      <c r="A12" s="6">
        <f t="array" ref="A12">INDEX(Calcoli!$N$8:$N$19,MATCH(5,Calcoli!$O$8:$O$19,0))</f>
        <v>4</v>
      </c>
      <c r="B12" s="3" t="str">
        <f t="array" ref="B12">INDEX(Calcoli!$A$8:$A$19,MATCH(5,Calcoli!$O$8:$O$19,0))</f>
        <v>Marco Rondoni</v>
      </c>
      <c r="C12" s="7">
        <f t="array" ref="C12">INDEX(Calcoli!$J$8:$J$19,MATCH(5,Calcoli!$O$8:$O$19,0))</f>
        <v>15</v>
      </c>
      <c r="D12" s="8">
        <f t="array" ref="D12">INDEX(Calcoli!$B$8:$B$19,MATCH(5,Calcoli!$O$8:$O$19,0))</f>
        <v>1</v>
      </c>
      <c r="E12" s="8">
        <f t="array" ref="E12">INDEX(Calcoli!$C$8:$C$19,MATCH(5,Calcoli!$O$8:$O$19,0))</f>
        <v>1</v>
      </c>
      <c r="F12" s="8">
        <f t="array" ref="F12">INDEX(Calcoli!$D$8:$D$19,MATCH(5,Calcoli!$O$8:$O$19,0))</f>
        <v>0</v>
      </c>
      <c r="G12" s="8">
        <f t="array" ref="G12">INDEX(Calcoli!$E$8:$E$19,MATCH(5,Calcoli!$O$8:$O$19,0))</f>
        <v>0</v>
      </c>
      <c r="H12" s="8">
        <f t="array" ref="H12">INDEX(Calcoli!$F$8:$F$19,MATCH(5,Calcoli!$O$8:$O$19,0))</f>
        <v>12</v>
      </c>
      <c r="I12" s="8">
        <f t="array" ref="I12">INDEX(Calcoli!$G$8:$G$19,MATCH(5,Calcoli!$O$8:$O$19,0))</f>
        <v>4</v>
      </c>
      <c r="J12" s="8">
        <f t="array" ref="J12">INDEX(Calcoli!$H$8:$H$19,MATCH(5,Calcoli!$O$8:$O$19,0))</f>
        <v>8</v>
      </c>
      <c r="K12" s="8">
        <f t="array" ref="K12">INDEX(Calcoli!$I$8:$I$19,MATCH(5,Calcoli!$O$8:$O$19,0))</f>
        <v>3</v>
      </c>
      <c r="L12" s="3" t="str">
        <f t="shared" si="1"/>
        <v>Top 8 provv.</v>
      </c>
    </row>
    <row r="13" ht="24.0" customHeight="1">
      <c r="A13" s="16">
        <f t="array" ref="A13">INDEX(Calcoli!$N$8:$N$19,MATCH(6,Calcoli!$O$8:$O$19,0))</f>
        <v>6</v>
      </c>
      <c r="B13" s="1" t="str">
        <f t="array" ref="B13">INDEX(Calcoli!$A$8:$A$19,MATCH(6,Calcoli!$O$8:$O$19,0))</f>
        <v>Francesco Artegiani</v>
      </c>
      <c r="C13" s="18">
        <f t="array" ref="C13">INDEX(Calcoli!$J$8:$J$19,MATCH(6,Calcoli!$O$8:$O$19,0))</f>
        <v>13</v>
      </c>
      <c r="D13" s="19">
        <f t="array" ref="D13">INDEX(Calcoli!$B$8:$B$19,MATCH(6,Calcoli!$O$8:$O$19,0))</f>
        <v>1</v>
      </c>
      <c r="E13" s="19">
        <f t="array" ref="E13">INDEX(Calcoli!$C$8:$C$19,MATCH(6,Calcoli!$O$8:$O$19,0))</f>
        <v>1</v>
      </c>
      <c r="F13" s="19">
        <f t="array" ref="F13">INDEX(Calcoli!$D$8:$D$19,MATCH(6,Calcoli!$O$8:$O$19,0))</f>
        <v>0</v>
      </c>
      <c r="G13" s="19">
        <f t="array" ref="G13">INDEX(Calcoli!$E$8:$E$19,MATCH(6,Calcoli!$O$8:$O$19,0))</f>
        <v>0</v>
      </c>
      <c r="H13" s="19">
        <f t="array" ref="H13">INDEX(Calcoli!$F$8:$F$19,MATCH(6,Calcoli!$O$8:$O$19,0))</f>
        <v>8</v>
      </c>
      <c r="I13" s="19">
        <f t="array" ref="I13">INDEX(Calcoli!$G$8:$G$19,MATCH(6,Calcoli!$O$8:$O$19,0))</f>
        <v>10</v>
      </c>
      <c r="J13" s="19">
        <f t="array" ref="J13">INDEX(Calcoli!$H$8:$H$19,MATCH(6,Calcoli!$O$8:$O$19,0))</f>
        <v>-2</v>
      </c>
      <c r="K13" s="19">
        <f t="array" ref="K13">INDEX(Calcoli!$I$8:$I$19,MATCH(6,Calcoli!$O$8:$O$19,0))</f>
        <v>5</v>
      </c>
      <c r="L13" s="1" t="str">
        <f t="shared" si="1"/>
        <v>Top 8 provv.</v>
      </c>
    </row>
    <row r="14" ht="24.0" customHeight="1">
      <c r="A14" s="6">
        <f t="array" ref="A14">INDEX(Calcoli!$N$8:$N$19,MATCH(7,Calcoli!$O$8:$O$19,0))</f>
        <v>7</v>
      </c>
      <c r="B14" s="3" t="str">
        <f t="array" ref="B14">INDEX(Calcoli!$A$8:$A$19,MATCH(7,Calcoli!$O$8:$O$19,0))</f>
        <v>Leonardo Panfili</v>
      </c>
      <c r="C14" s="7">
        <f t="array" ref="C14">INDEX(Calcoli!$J$8:$J$19,MATCH(7,Calcoli!$O$8:$O$19,0))</f>
        <v>10</v>
      </c>
      <c r="D14" s="8">
        <f t="array" ref="D14">INDEX(Calcoli!$B$8:$B$19,MATCH(7,Calcoli!$O$8:$O$19,0))</f>
        <v>1</v>
      </c>
      <c r="E14" s="8">
        <f t="array" ref="E14">INDEX(Calcoli!$C$8:$C$19,MATCH(7,Calcoli!$O$8:$O$19,0))</f>
        <v>0</v>
      </c>
      <c r="F14" s="8">
        <f t="array" ref="F14">INDEX(Calcoli!$D$8:$D$19,MATCH(7,Calcoli!$O$8:$O$19,0))</f>
        <v>1</v>
      </c>
      <c r="G14" s="8">
        <f t="array" ref="G14">INDEX(Calcoli!$E$8:$E$19,MATCH(7,Calcoli!$O$8:$O$19,0))</f>
        <v>0</v>
      </c>
      <c r="H14" s="8">
        <f t="array" ref="H14">INDEX(Calcoli!$F$8:$F$19,MATCH(7,Calcoli!$O$8:$O$19,0))</f>
        <v>10</v>
      </c>
      <c r="I14" s="8">
        <f t="array" ref="I14">INDEX(Calcoli!$G$8:$G$19,MATCH(7,Calcoli!$O$8:$O$19,0))</f>
        <v>8</v>
      </c>
      <c r="J14" s="8">
        <f t="array" ref="J14">INDEX(Calcoli!$H$8:$H$19,MATCH(7,Calcoli!$O$8:$O$19,0))</f>
        <v>2</v>
      </c>
      <c r="K14" s="8">
        <f t="array" ref="K14">INDEX(Calcoli!$I$8:$I$19,MATCH(7,Calcoli!$O$8:$O$19,0))</f>
        <v>0</v>
      </c>
      <c r="L14" s="3" t="str">
        <f t="shared" si="1"/>
        <v>Top 8 provv.</v>
      </c>
    </row>
    <row r="15" ht="24.0" customHeight="1">
      <c r="A15" s="16">
        <f t="array" ref="A15">INDEX(Calcoli!$N$8:$N$19,MATCH(8,Calcoli!$O$8:$O$19,0))</f>
        <v>8</v>
      </c>
      <c r="B15" s="1" t="str">
        <f t="array" ref="B15">INDEX(Calcoli!$A$8:$A$19,MATCH(8,Calcoli!$O$8:$O$19,0))</f>
        <v>Fabrizio Ricci</v>
      </c>
      <c r="C15" s="18">
        <f t="array" ref="C15">INDEX(Calcoli!$J$8:$J$19,MATCH(8,Calcoli!$O$8:$O$19,0))</f>
        <v>6</v>
      </c>
      <c r="D15" s="19">
        <f t="array" ref="D15">INDEX(Calcoli!$B$8:$B$19,MATCH(8,Calcoli!$O$8:$O$19,0))</f>
        <v>1</v>
      </c>
      <c r="E15" s="19">
        <f t="array" ref="E15">INDEX(Calcoli!$C$8:$C$19,MATCH(8,Calcoli!$O$8:$O$19,0))</f>
        <v>0</v>
      </c>
      <c r="F15" s="19">
        <f t="array" ref="F15">INDEX(Calcoli!$D$8:$D$19,MATCH(8,Calcoli!$O$8:$O$19,0))</f>
        <v>1</v>
      </c>
      <c r="G15" s="19">
        <f t="array" ref="G15">INDEX(Calcoli!$E$8:$E$19,MATCH(8,Calcoli!$O$8:$O$19,0))</f>
        <v>0</v>
      </c>
      <c r="H15" s="19">
        <f t="array" ref="H15">INDEX(Calcoli!$F$8:$F$19,MATCH(8,Calcoli!$O$8:$O$19,0))</f>
        <v>6</v>
      </c>
      <c r="I15" s="19">
        <f t="array" ref="I15">INDEX(Calcoli!$G$8:$G$19,MATCH(8,Calcoli!$O$8:$O$19,0))</f>
        <v>12</v>
      </c>
      <c r="J15" s="19">
        <f t="array" ref="J15">INDEX(Calcoli!$H$8:$H$19,MATCH(8,Calcoli!$O$8:$O$19,0))</f>
        <v>-6</v>
      </c>
      <c r="K15" s="19">
        <f t="array" ref="K15">INDEX(Calcoli!$I$8:$I$19,MATCH(8,Calcoli!$O$8:$O$19,0))</f>
        <v>0</v>
      </c>
      <c r="L15" s="1" t="str">
        <f t="shared" si="1"/>
        <v>Parità al taglio</v>
      </c>
    </row>
    <row r="16" ht="24.0" customHeight="1">
      <c r="A16" s="6">
        <f t="array" ref="A16">INDEX(Calcoli!$N$8:$N$19,MATCH(9,Calcoli!$O$8:$O$19,0))</f>
        <v>8</v>
      </c>
      <c r="B16" s="3" t="str">
        <f t="array" ref="B16">INDEX(Calcoli!$A$8:$A$19,MATCH(9,Calcoli!$O$8:$O$19,0))</f>
        <v>Luca Ceccarelli</v>
      </c>
      <c r="C16" s="7">
        <f t="array" ref="C16">INDEX(Calcoli!$J$8:$J$19,MATCH(9,Calcoli!$O$8:$O$19,0))</f>
        <v>6</v>
      </c>
      <c r="D16" s="8">
        <f t="array" ref="D16">INDEX(Calcoli!$B$8:$B$19,MATCH(9,Calcoli!$O$8:$O$19,0))</f>
        <v>2</v>
      </c>
      <c r="E16" s="8">
        <f t="array" ref="E16">INDEX(Calcoli!$C$8:$C$19,MATCH(9,Calcoli!$O$8:$O$19,0))</f>
        <v>0</v>
      </c>
      <c r="F16" s="8">
        <f t="array" ref="F16">INDEX(Calcoli!$D$8:$D$19,MATCH(9,Calcoli!$O$8:$O$19,0))</f>
        <v>2</v>
      </c>
      <c r="G16" s="8">
        <f t="array" ref="G16">INDEX(Calcoli!$E$8:$E$19,MATCH(9,Calcoli!$O$8:$O$19,0))</f>
        <v>0</v>
      </c>
      <c r="H16" s="8">
        <f t="array" ref="H16">INDEX(Calcoli!$F$8:$F$19,MATCH(9,Calcoli!$O$8:$O$19,0))</f>
        <v>6</v>
      </c>
      <c r="I16" s="8">
        <f t="array" ref="I16">INDEX(Calcoli!$G$8:$G$19,MATCH(9,Calcoli!$O$8:$O$19,0))</f>
        <v>24</v>
      </c>
      <c r="J16" s="8">
        <f t="array" ref="J16">INDEX(Calcoli!$H$8:$H$19,MATCH(9,Calcoli!$O$8:$O$19,0))</f>
        <v>-18</v>
      </c>
      <c r="K16" s="8">
        <f t="array" ref="K16">INDEX(Calcoli!$I$8:$I$19,MATCH(9,Calcoli!$O$8:$O$19,0))</f>
        <v>0</v>
      </c>
      <c r="L16" s="3" t="str">
        <f t="shared" si="1"/>
        <v>Parità al taglio</v>
      </c>
    </row>
    <row r="17" ht="24.0" customHeight="1">
      <c r="A17" s="16">
        <f t="array" ref="A17">INDEX(Calcoli!$N$8:$N$19,MATCH(10,Calcoli!$O$8:$O$19,0))</f>
        <v>10</v>
      </c>
      <c r="B17" s="1" t="str">
        <f t="array" ref="B17">INDEX(Calcoli!$A$8:$A$19,MATCH(10,Calcoli!$O$8:$O$19,0))</f>
        <v>Gennaro Carucci</v>
      </c>
      <c r="C17" s="18">
        <f t="array" ref="C17">INDEX(Calcoli!$J$8:$J$19,MATCH(10,Calcoli!$O$8:$O$19,0))</f>
        <v>5</v>
      </c>
      <c r="D17" s="19">
        <f t="array" ref="D17">INDEX(Calcoli!$B$8:$B$19,MATCH(10,Calcoli!$O$8:$O$19,0))</f>
        <v>1</v>
      </c>
      <c r="E17" s="19">
        <f t="array" ref="E17">INDEX(Calcoli!$C$8:$C$19,MATCH(10,Calcoli!$O$8:$O$19,0))</f>
        <v>0</v>
      </c>
      <c r="F17" s="19">
        <f t="array" ref="F17">INDEX(Calcoli!$D$8:$D$19,MATCH(10,Calcoli!$O$8:$O$19,0))</f>
        <v>1</v>
      </c>
      <c r="G17" s="19">
        <f t="array" ref="G17">INDEX(Calcoli!$E$8:$E$19,MATCH(10,Calcoli!$O$8:$O$19,0))</f>
        <v>0</v>
      </c>
      <c r="H17" s="19">
        <f t="array" ref="H17">INDEX(Calcoli!$F$8:$F$19,MATCH(10,Calcoli!$O$8:$O$19,0))</f>
        <v>5</v>
      </c>
      <c r="I17" s="19">
        <f t="array" ref="I17">INDEX(Calcoli!$G$8:$G$19,MATCH(10,Calcoli!$O$8:$O$19,0))</f>
        <v>12</v>
      </c>
      <c r="J17" s="19">
        <f t="array" ref="J17">INDEX(Calcoli!$H$8:$H$19,MATCH(10,Calcoli!$O$8:$O$19,0))</f>
        <v>-7</v>
      </c>
      <c r="K17" s="19">
        <f t="array" ref="K17">INDEX(Calcoli!$I$8:$I$19,MATCH(10,Calcoli!$O$8:$O$19,0))</f>
        <v>0</v>
      </c>
      <c r="L17" s="1" t="str">
        <f t="shared" si="1"/>
        <v>Fuori Top 8</v>
      </c>
    </row>
    <row r="18" ht="24.0" customHeight="1">
      <c r="A18" s="6">
        <f t="array" ref="A18">INDEX(Calcoli!$N$8:$N$19,MATCH(11,Calcoli!$O$8:$O$19,0))</f>
        <v>11</v>
      </c>
      <c r="B18" s="3" t="str">
        <f t="array" ref="B18">INDEX(Calcoli!$A$8:$A$19,MATCH(11,Calcoli!$O$8:$O$19,0))</f>
        <v>Michele Giancarlo</v>
      </c>
      <c r="C18" s="7">
        <f t="array" ref="C18">INDEX(Calcoli!$J$8:$J$19,MATCH(11,Calcoli!$O$8:$O$19,0))</f>
        <v>4</v>
      </c>
      <c r="D18" s="8">
        <f t="array" ref="D18">INDEX(Calcoli!$B$8:$B$19,MATCH(11,Calcoli!$O$8:$O$19,0))</f>
        <v>1</v>
      </c>
      <c r="E18" s="8">
        <f t="array" ref="E18">INDEX(Calcoli!$C$8:$C$19,MATCH(11,Calcoli!$O$8:$O$19,0))</f>
        <v>0</v>
      </c>
      <c r="F18" s="8">
        <f t="array" ref="F18">INDEX(Calcoli!$D$8:$D$19,MATCH(11,Calcoli!$O$8:$O$19,0))</f>
        <v>1</v>
      </c>
      <c r="G18" s="8">
        <f t="array" ref="G18">INDEX(Calcoli!$E$8:$E$19,MATCH(11,Calcoli!$O$8:$O$19,0))</f>
        <v>0</v>
      </c>
      <c r="H18" s="8">
        <f t="array" ref="H18">INDEX(Calcoli!$F$8:$F$19,MATCH(11,Calcoli!$O$8:$O$19,0))</f>
        <v>4</v>
      </c>
      <c r="I18" s="8">
        <f t="array" ref="I18">INDEX(Calcoli!$G$8:$G$19,MATCH(11,Calcoli!$O$8:$O$19,0))</f>
        <v>12</v>
      </c>
      <c r="J18" s="8">
        <f t="array" ref="J18">INDEX(Calcoli!$H$8:$H$19,MATCH(11,Calcoli!$O$8:$O$19,0))</f>
        <v>-8</v>
      </c>
      <c r="K18" s="8">
        <f t="array" ref="K18">INDEX(Calcoli!$I$8:$I$19,MATCH(11,Calcoli!$O$8:$O$19,0))</f>
        <v>0</v>
      </c>
      <c r="L18" s="3" t="str">
        <f t="shared" si="1"/>
        <v>Fuori Top 8</v>
      </c>
    </row>
    <row r="19" ht="24.0" customHeight="1">
      <c r="A19" s="16">
        <f t="array" ref="A19">INDEX(Calcoli!$N$8:$N$19,MATCH(12,Calcoli!$O$8:$O$19,0))</f>
        <v>12</v>
      </c>
      <c r="B19" s="1" t="str">
        <f t="array" ref="B19">INDEX(Calcoli!$A$8:$A$19,MATCH(12,Calcoli!$O$8:$O$19,0))</f>
        <v>Alessandro Cofanelli</v>
      </c>
      <c r="C19" s="18">
        <f t="array" ref="C19">INDEX(Calcoli!$J$8:$J$19,MATCH(12,Calcoli!$O$8:$O$19,0))</f>
        <v>3</v>
      </c>
      <c r="D19" s="19">
        <f t="array" ref="D19">INDEX(Calcoli!$B$8:$B$19,MATCH(12,Calcoli!$O$8:$O$19,0))</f>
        <v>1</v>
      </c>
      <c r="E19" s="19">
        <f t="array" ref="E19">INDEX(Calcoli!$C$8:$C$19,MATCH(12,Calcoli!$O$8:$O$19,0))</f>
        <v>0</v>
      </c>
      <c r="F19" s="19">
        <f t="array" ref="F19">INDEX(Calcoli!$D$8:$D$19,MATCH(12,Calcoli!$O$8:$O$19,0))</f>
        <v>1</v>
      </c>
      <c r="G19" s="19">
        <f t="array" ref="G19">INDEX(Calcoli!$E$8:$E$19,MATCH(12,Calcoli!$O$8:$O$19,0))</f>
        <v>0</v>
      </c>
      <c r="H19" s="19">
        <f t="array" ref="H19">INDEX(Calcoli!$F$8:$F$19,MATCH(12,Calcoli!$O$8:$O$19,0))</f>
        <v>3</v>
      </c>
      <c r="I19" s="19">
        <f t="array" ref="I19">INDEX(Calcoli!$G$8:$G$19,MATCH(12,Calcoli!$O$8:$O$19,0))</f>
        <v>12</v>
      </c>
      <c r="J19" s="19">
        <f t="array" ref="J19">INDEX(Calcoli!$H$8:$H$19,MATCH(12,Calcoli!$O$8:$O$19,0))</f>
        <v>-9</v>
      </c>
      <c r="K19" s="19">
        <f t="array" ref="K19">INDEX(Calcoli!$I$8:$I$19,MATCH(12,Calcoli!$O$8:$O$19,0))</f>
        <v>0</v>
      </c>
      <c r="L19" s="1" t="str">
        <f t="shared" si="1"/>
        <v>Fuori Top 8</v>
      </c>
    </row>
    <row r="20" ht="24.0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</row>
    <row r="21" ht="24.0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</row>
    <row r="22" ht="24.0" customHeight="1">
      <c r="A22" s="38" t="s">
        <v>103</v>
      </c>
      <c r="B22" s="39"/>
      <c r="C22" s="40"/>
      <c r="D22" s="38"/>
      <c r="E22" s="39"/>
      <c r="F22" s="39"/>
      <c r="G22" s="39"/>
      <c r="H22" s="39"/>
      <c r="I22" s="39"/>
      <c r="J22" s="39"/>
      <c r="K22" s="39"/>
      <c r="L22" s="40"/>
    </row>
    <row r="23" ht="28.5" customHeight="1">
      <c r="A23" s="41" t="s">
        <v>104</v>
      </c>
      <c r="D23" s="42" t="s">
        <v>105</v>
      </c>
    </row>
    <row r="24" ht="28.5" customHeight="1">
      <c r="A24" s="41" t="s">
        <v>106</v>
      </c>
      <c r="D24" s="42" t="s">
        <v>107</v>
      </c>
    </row>
    <row r="25" ht="28.5" customHeight="1">
      <c r="A25" s="41" t="s">
        <v>108</v>
      </c>
      <c r="D25" s="42" t="s">
        <v>109</v>
      </c>
    </row>
    <row r="26" ht="28.5" customHeight="1">
      <c r="A26" s="41" t="s">
        <v>110</v>
      </c>
      <c r="D26" s="42" t="s">
        <v>111</v>
      </c>
    </row>
    <row r="27" ht="28.5" customHeight="1">
      <c r="A27" s="41" t="s">
        <v>112</v>
      </c>
      <c r="D27" s="42" t="s">
        <v>113</v>
      </c>
    </row>
    <row r="28" ht="28.5" customHeight="1">
      <c r="A28" s="41" t="s">
        <v>114</v>
      </c>
      <c r="D28" s="42" t="s">
        <v>115</v>
      </c>
    </row>
    <row r="29" ht="24.0" customHeight="1">
      <c r="A29" s="38" t="s">
        <v>116</v>
      </c>
      <c r="B29" s="39"/>
      <c r="C29" s="40"/>
      <c r="D29" s="38"/>
      <c r="E29" s="39"/>
      <c r="F29" s="39"/>
      <c r="G29" s="39"/>
      <c r="H29" s="39"/>
      <c r="I29" s="39"/>
      <c r="J29" s="39"/>
      <c r="K29" s="39"/>
      <c r="L29" s="40"/>
    </row>
    <row r="30" ht="37.5" customHeight="1">
      <c r="A30" s="41" t="s">
        <v>118</v>
      </c>
      <c r="D30" s="42" t="s">
        <v>119</v>
      </c>
    </row>
    <row r="31" ht="37.5" customHeight="1">
      <c r="A31" s="41" t="s">
        <v>120</v>
      </c>
      <c r="D31" s="42" t="s">
        <v>121</v>
      </c>
    </row>
    <row r="32" ht="28.5" customHeight="1">
      <c r="A32" s="41" t="s">
        <v>122</v>
      </c>
      <c r="D32" s="42" t="s">
        <v>123</v>
      </c>
    </row>
    <row r="33" ht="28.5" customHeight="1">
      <c r="A33" s="41" t="s">
        <v>124</v>
      </c>
      <c r="D33" s="42" t="s">
        <v>125</v>
      </c>
    </row>
    <row r="34" ht="28.5" customHeight="1">
      <c r="A34" s="41" t="s">
        <v>126</v>
      </c>
      <c r="D34" s="42" t="s">
        <v>127</v>
      </c>
    </row>
    <row r="35" ht="28.5" customHeight="1">
      <c r="A35" s="41" t="s">
        <v>128</v>
      </c>
      <c r="D35" s="42" t="s">
        <v>129</v>
      </c>
    </row>
    <row r="36" ht="28.5" customHeight="1">
      <c r="A36" s="41" t="s">
        <v>130</v>
      </c>
      <c r="D36" s="42" t="s">
        <v>131</v>
      </c>
    </row>
    <row r="37" ht="28.5" customHeight="1">
      <c r="A37" s="41" t="s">
        <v>132</v>
      </c>
      <c r="D37" s="42" t="s">
        <v>133</v>
      </c>
    </row>
    <row r="38" ht="28.5" customHeight="1">
      <c r="A38" s="41" t="s">
        <v>134</v>
      </c>
      <c r="D38" s="42" t="s">
        <v>135</v>
      </c>
    </row>
    <row r="39" ht="28.5" customHeight="1">
      <c r="A39" s="41" t="s">
        <v>136</v>
      </c>
      <c r="D39" s="42" t="s">
        <v>137</v>
      </c>
    </row>
    <row r="40" ht="37.5" customHeight="1">
      <c r="A40" s="44" t="s">
        <v>138</v>
      </c>
      <c r="D40" s="42" t="s">
        <v>139</v>
      </c>
    </row>
    <row r="41" ht="37.5" customHeight="1">
      <c r="A41" s="44" t="s">
        <v>140</v>
      </c>
      <c r="D41" s="42" t="s">
        <v>141</v>
      </c>
    </row>
    <row r="42" ht="37.5" customHeight="1">
      <c r="A42" s="44" t="s">
        <v>142</v>
      </c>
      <c r="D42" s="42" t="s">
        <v>143</v>
      </c>
    </row>
    <row r="43" ht="24.0" customHeight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2">
    <mergeCell ref="A22:C22"/>
    <mergeCell ref="D22:L22"/>
    <mergeCell ref="A23:C23"/>
    <mergeCell ref="D23:L23"/>
    <mergeCell ref="A24:C24"/>
    <mergeCell ref="D24:L24"/>
    <mergeCell ref="D25:L25"/>
    <mergeCell ref="A25:C25"/>
    <mergeCell ref="A26:C26"/>
    <mergeCell ref="A27:C27"/>
    <mergeCell ref="A28:C28"/>
    <mergeCell ref="A29:C29"/>
    <mergeCell ref="A30:C30"/>
    <mergeCell ref="A31:C31"/>
    <mergeCell ref="D26:L26"/>
    <mergeCell ref="D27:L27"/>
    <mergeCell ref="D28:L28"/>
    <mergeCell ref="D29:L29"/>
    <mergeCell ref="D30:L30"/>
    <mergeCell ref="D31:L31"/>
    <mergeCell ref="D32:L32"/>
    <mergeCell ref="A39:C39"/>
    <mergeCell ref="A40:C40"/>
    <mergeCell ref="A41:C41"/>
    <mergeCell ref="A42:C42"/>
    <mergeCell ref="A32:C32"/>
    <mergeCell ref="A33:C33"/>
    <mergeCell ref="A34:C34"/>
    <mergeCell ref="A35:C35"/>
    <mergeCell ref="A36:C36"/>
    <mergeCell ref="A37:C37"/>
    <mergeCell ref="A38:C38"/>
    <mergeCell ref="D40:L40"/>
    <mergeCell ref="D41:L41"/>
    <mergeCell ref="D42:L42"/>
    <mergeCell ref="D33:L33"/>
    <mergeCell ref="D34:L34"/>
    <mergeCell ref="D35:L35"/>
    <mergeCell ref="D36:L36"/>
    <mergeCell ref="D37:L37"/>
    <mergeCell ref="D38:L38"/>
    <mergeCell ref="D39:L39"/>
  </mergeCells>
  <conditionalFormatting sqref="A8:L19">
    <cfRule type="expression" dxfId="5" priority="1">
      <formula>AND($C8&gt;0,$A8&lt;=8)</formula>
    </cfRule>
  </conditionalFormatting>
  <conditionalFormatting sqref="I5">
    <cfRule type="cellIs" dxfId="6" priority="2" operator="greaterThan">
      <formula>0</formula>
    </cfRule>
  </conditionalFormatting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tabColor rgb="FF207D69"/>
    <pageSetUpPr/>
  </sheetPr>
  <sheetViews>
    <sheetView showGridLines="0" workbookViewId="0">
      <pane xSplit="5.0" ySplit="7.0" topLeftCell="F8" activePane="bottomRight" state="frozen"/>
      <selection activeCell="F1" sqref="F1" pane="topRight"/>
      <selection activeCell="A8" sqref="A8" pane="bottomLeft"/>
      <selection activeCell="F8" sqref="F8" pane="bottomRight"/>
    </sheetView>
  </sheetViews>
  <sheetFormatPr customHeight="1" defaultColWidth="12.63" defaultRowHeight="15.0"/>
  <cols>
    <col customWidth="1" min="1" max="1" width="10.0"/>
    <col customWidth="1" min="2" max="3" width="13.0"/>
    <col customWidth="1" min="4" max="5" width="19.0"/>
    <col customWidth="1" min="6" max="6" width="18.0"/>
    <col customWidth="1" min="7" max="12" width="8.0"/>
    <col customWidth="1" min="13" max="13" width="20.0"/>
    <col customWidth="1" min="14" max="15" width="9.0"/>
    <col customWidth="1" min="16" max="16" width="36.0"/>
    <col customWidth="1" min="17" max="27" width="14.0"/>
    <col customWidth="1" min="28" max="29" width="17.0"/>
  </cols>
  <sheetData>
    <row r="1" ht="24.0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ht="24.0" customHeight="1">
      <c r="A2" s="2" t="s">
        <v>8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ht="24.0" customHeight="1">
      <c r="A3" s="1" t="s">
        <v>21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ht="24.0" customHeight="1">
      <c r="A4" s="1" t="s">
        <v>22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ht="24.0" customHeight="1">
      <c r="A5" s="1" t="s">
        <v>23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ht="24.0" customHeight="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ht="36.0" customHeight="1">
      <c r="A7" s="9" t="s">
        <v>28</v>
      </c>
      <c r="B7" s="9" t="s">
        <v>50</v>
      </c>
      <c r="C7" s="9" t="s">
        <v>56</v>
      </c>
      <c r="D7" s="9" t="s">
        <v>58</v>
      </c>
      <c r="E7" s="9" t="s">
        <v>59</v>
      </c>
      <c r="F7" s="9" t="s">
        <v>60</v>
      </c>
      <c r="G7" s="9" t="s">
        <v>61</v>
      </c>
      <c r="H7" s="9" t="s">
        <v>62</v>
      </c>
      <c r="I7" s="9" t="s">
        <v>63</v>
      </c>
      <c r="J7" s="9" t="s">
        <v>64</v>
      </c>
      <c r="K7" s="9" t="s">
        <v>65</v>
      </c>
      <c r="L7" s="9" t="s">
        <v>66</v>
      </c>
      <c r="M7" s="9" t="s">
        <v>67</v>
      </c>
      <c r="N7" s="9" t="s">
        <v>68</v>
      </c>
      <c r="O7" s="9" t="s">
        <v>69</v>
      </c>
      <c r="P7" s="9" t="s">
        <v>70</v>
      </c>
      <c r="Q7" s="5" t="s">
        <v>71</v>
      </c>
      <c r="R7" s="5" t="s">
        <v>72</v>
      </c>
      <c r="S7" s="5" t="s">
        <v>73</v>
      </c>
      <c r="T7" s="5" t="s">
        <v>74</v>
      </c>
      <c r="U7" s="5" t="s">
        <v>75</v>
      </c>
      <c r="V7" s="5" t="s">
        <v>76</v>
      </c>
      <c r="W7" s="5" t="s">
        <v>77</v>
      </c>
      <c r="X7" s="5" t="s">
        <v>78</v>
      </c>
      <c r="Y7" s="5" t="s">
        <v>79</v>
      </c>
      <c r="Z7" s="5" t="s">
        <v>80</v>
      </c>
      <c r="AA7" s="5" t="s">
        <v>81</v>
      </c>
      <c r="AB7" s="5" t="s">
        <v>82</v>
      </c>
      <c r="AC7" s="5" t="s">
        <v>83</v>
      </c>
    </row>
    <row r="8" ht="24.0" customHeight="1">
      <c r="A8" s="11">
        <v>1.0</v>
      </c>
      <c r="B8" s="12"/>
      <c r="C8" s="12"/>
      <c r="D8" s="13" t="s">
        <v>57</v>
      </c>
      <c r="E8" s="13" t="s">
        <v>84</v>
      </c>
      <c r="F8" s="14" t="s">
        <v>85</v>
      </c>
      <c r="G8" s="15">
        <v>6.0</v>
      </c>
      <c r="H8" s="15">
        <v>2.0</v>
      </c>
      <c r="I8" s="15">
        <v>6.0</v>
      </c>
      <c r="J8" s="15">
        <v>2.0</v>
      </c>
      <c r="K8" s="17"/>
      <c r="L8" s="17"/>
      <c r="M8" s="11" t="str">
        <f t="shared" ref="M8:M73" si="1">IF(Z8=0,"",IF(F8="Tempo scaduto","Nessuno (tempo)",IF(Y8=1,D8,E8)))</f>
        <v>Giuseppe De Francesca</v>
      </c>
      <c r="N8" s="20">
        <f t="shared" ref="N8:N73" si="2">IF(Z8=1,SUM(Q8,S8,AB8),"")</f>
        <v>15</v>
      </c>
      <c r="O8" s="20">
        <f t="shared" ref="O8:O73" si="3">IF(Z8=1,SUM(R8,T8,AC8),"")</f>
        <v>4</v>
      </c>
      <c r="P8" s="11" t="str">
        <f t="shared" ref="P8:P73" si="4">IF(AND(F8="",COUNTA(G8:L8)=0),"Da giocare",IF(X8=0,"Verifica punteggio",IF(F8="","Seleziona stato",IF(F8="Conclusa",IF(Y8&gt;0,"OK","Punteggio incompleto"),IF(F8="Tempo scaduto",IF(Y8=0,"OK","Vincitore definito: usa Conclusa"),"Verifica stato")))))</f>
        <v>OK</v>
      </c>
      <c r="Q8" s="1">
        <f t="shared" ref="Q8:Q73" si="5">IF(Z8=1,SUM(G8,I8),0)</f>
        <v>12</v>
      </c>
      <c r="R8" s="1">
        <f t="shared" ref="R8:R73" si="6">IF(Z8=1,SUM(H8,J8),0)</f>
        <v>4</v>
      </c>
      <c r="S8" s="1">
        <f t="shared" ref="S8:S73" si="7">IF(AND(Z8=1,F8="Conclusa",Y8=1),IF(U8=V8,3,2+1),0)</f>
        <v>3</v>
      </c>
      <c r="T8" s="1">
        <f t="shared" ref="T8:T73" si="8">IF(AND(Z8=1,F8="Conclusa",Y8=2),IF(U8=V8,3,2+1),0)</f>
        <v>0</v>
      </c>
      <c r="U8" s="1">
        <f t="shared" ref="U8:U73" si="9">IF(COUNTA(G8:H8)=0,0,IF(OR(COUNT(G8:H8)&lt;&gt;2,G8&lt;0,H8&lt;0,G8&gt;7,H8&gt;7,MOD(G8,1)&lt;&gt;0,MOD(H8,1)&lt;&gt;0),-1,IF(OR(AND(G8=6,H8&lt;=4),AND(G8=7,OR(H8=5,H8=6))),1,IF(OR(AND(H8=6,G8&lt;=4),AND(H8=7,OR(G8=5,G8=6))),2,IF(OR(MAX(G8:H8)&lt;=5,AND(MAX(G8:H8)=6,MIN(G8:H8)&gt;=5)),0,-1)))))</f>
        <v>1</v>
      </c>
      <c r="V8" s="1">
        <f t="shared" ref="V8:V73" si="10">IF(COUNTA(I8:J8)=0,0,IF(OR(COUNT(I8:J8)&lt;&gt;2,I8&lt;0,J8&lt;0,I8&gt;7,J8&gt;7,MOD(I8,1)&lt;&gt;0,MOD(J8,1)&lt;&gt;0),-1,IF(OR(AND(I8=6,J8&lt;=4),AND(I8=7,OR(J8=5,J8=6))),1,IF(OR(AND(J8=6,I8&lt;=4),AND(J8=7,OR(I8=5,I8=6))),2,IF(OR(MAX(I8:J8)&lt;=5,AND(MAX(I8:J8)=6,MIN(I8:J8)&gt;=5)),0,-1)))))</f>
        <v>1</v>
      </c>
      <c r="W8" s="1">
        <f t="shared" ref="W8:W73" si="11">IF(COUNTA(K8:L8)=0,0,IF(OR(COUNT(K8:L8)&lt;&gt;2,MIN(K8:L8)&lt;0,MOD(K8,1)&lt;&gt;0,MOD(L8,1)&lt;&gt;0),-1,IF(AND(MAX(K8:L8)&gt;=10,ABS(K8-L8)&gt;=2),IF(OR(AND(MAX(K8:L8)=10,MIN(K8:L8)&lt;=8),AND(MIN(K8:L8)&gt;=9,ABS(K8-L8)=2)),IF(K8&gt;L8,1,2),-1),0)))</f>
        <v>0</v>
      </c>
      <c r="X8" s="1">
        <f t="shared" ref="X8:X73" si="12">IF(AND(U8&gt;=0,V8&gt;=0,W8&gt;=0,COUNT(G8:H8)=2,OR(COUNTA(I8:J8)=0,U8&gt;0),OR(COUNTA(K8:L8)=0,AND(U8&gt;0,V8&gt;0,U8&lt;&gt;V8))),1,0)</f>
        <v>1</v>
      </c>
      <c r="Y8" s="1">
        <f t="shared" ref="Y8:Y73" si="13">IF(AND(U8&gt;0,V8&gt;0),IF(U8=V8,U8,IF(W8&gt;0,W8,0)),0)</f>
        <v>1</v>
      </c>
      <c r="Z8" s="1">
        <f t="shared" ref="Z8:Z73" si="14">IF(P8="OK",1,0)</f>
        <v>1</v>
      </c>
      <c r="AA8" s="1" t="s">
        <v>86</v>
      </c>
      <c r="AB8" s="1">
        <f t="shared" ref="AB8:AB73" si="15">IF(AND(Z8=1,F8="Conclusa",U8&lt;&gt;V8,Y8=1),MAX(0,R8-Q8),0)</f>
        <v>0</v>
      </c>
      <c r="AC8" s="1">
        <f t="shared" ref="AC8:AC73" si="16">IF(AND(Z8=1,F8="Conclusa",U8&lt;&gt;V8,Y8=2),MAX(0,Q8-R8),0)</f>
        <v>0</v>
      </c>
    </row>
    <row r="9" ht="24.0" customHeight="1">
      <c r="A9" s="21">
        <v>1.0</v>
      </c>
      <c r="B9" s="22"/>
      <c r="C9" s="22"/>
      <c r="D9" s="23" t="s">
        <v>87</v>
      </c>
      <c r="E9" s="23" t="s">
        <v>88</v>
      </c>
      <c r="F9" s="24" t="s">
        <v>85</v>
      </c>
      <c r="G9" s="25">
        <v>6.0</v>
      </c>
      <c r="H9" s="25">
        <v>1.0</v>
      </c>
      <c r="I9" s="25">
        <v>6.0</v>
      </c>
      <c r="J9" s="25">
        <v>3.0</v>
      </c>
      <c r="K9" s="26"/>
      <c r="L9" s="26"/>
      <c r="M9" s="21" t="str">
        <f t="shared" si="1"/>
        <v>Marco Rondoni</v>
      </c>
      <c r="N9" s="27">
        <f t="shared" si="2"/>
        <v>15</v>
      </c>
      <c r="O9" s="27">
        <f t="shared" si="3"/>
        <v>4</v>
      </c>
      <c r="P9" s="21" t="str">
        <f t="shared" si="4"/>
        <v>OK</v>
      </c>
      <c r="Q9" s="1">
        <f t="shared" si="5"/>
        <v>12</v>
      </c>
      <c r="R9" s="1">
        <f t="shared" si="6"/>
        <v>4</v>
      </c>
      <c r="S9" s="1">
        <f t="shared" si="7"/>
        <v>3</v>
      </c>
      <c r="T9" s="1">
        <f t="shared" si="8"/>
        <v>0</v>
      </c>
      <c r="U9" s="1">
        <f t="shared" si="9"/>
        <v>1</v>
      </c>
      <c r="V9" s="1">
        <f t="shared" si="10"/>
        <v>1</v>
      </c>
      <c r="W9" s="1">
        <f t="shared" si="11"/>
        <v>0</v>
      </c>
      <c r="X9" s="1">
        <f t="shared" si="12"/>
        <v>1</v>
      </c>
      <c r="Y9" s="1">
        <f t="shared" si="13"/>
        <v>1</v>
      </c>
      <c r="Z9" s="1">
        <f t="shared" si="14"/>
        <v>1</v>
      </c>
      <c r="AA9" s="1" t="s">
        <v>89</v>
      </c>
      <c r="AB9" s="1">
        <f t="shared" si="15"/>
        <v>0</v>
      </c>
      <c r="AC9" s="1">
        <f t="shared" si="16"/>
        <v>0</v>
      </c>
    </row>
    <row r="10" ht="24.0" customHeight="1">
      <c r="A10" s="21">
        <v>1.0</v>
      </c>
      <c r="B10" s="22"/>
      <c r="C10" s="22"/>
      <c r="D10" s="23" t="s">
        <v>90</v>
      </c>
      <c r="E10" s="23" t="s">
        <v>91</v>
      </c>
      <c r="F10" s="24" t="s">
        <v>85</v>
      </c>
      <c r="G10" s="25">
        <v>1.0</v>
      </c>
      <c r="H10" s="25">
        <v>6.0</v>
      </c>
      <c r="I10" s="25">
        <v>2.0</v>
      </c>
      <c r="J10" s="25">
        <v>6.0</v>
      </c>
      <c r="K10" s="26"/>
      <c r="L10" s="26"/>
      <c r="M10" s="21" t="str">
        <f t="shared" si="1"/>
        <v>Federico Piccioni</v>
      </c>
      <c r="N10" s="27">
        <f t="shared" si="2"/>
        <v>3</v>
      </c>
      <c r="O10" s="27">
        <f t="shared" si="3"/>
        <v>15</v>
      </c>
      <c r="P10" s="21" t="str">
        <f t="shared" si="4"/>
        <v>OK</v>
      </c>
      <c r="Q10" s="1">
        <f t="shared" si="5"/>
        <v>3</v>
      </c>
      <c r="R10" s="1">
        <f t="shared" si="6"/>
        <v>12</v>
      </c>
      <c r="S10" s="1">
        <f t="shared" si="7"/>
        <v>0</v>
      </c>
      <c r="T10" s="1">
        <f t="shared" si="8"/>
        <v>3</v>
      </c>
      <c r="U10" s="1">
        <f t="shared" si="9"/>
        <v>2</v>
      </c>
      <c r="V10" s="1">
        <f t="shared" si="10"/>
        <v>2</v>
      </c>
      <c r="W10" s="1">
        <f t="shared" si="11"/>
        <v>0</v>
      </c>
      <c r="X10" s="1">
        <f t="shared" si="12"/>
        <v>1</v>
      </c>
      <c r="Y10" s="1">
        <f t="shared" si="13"/>
        <v>2</v>
      </c>
      <c r="Z10" s="1">
        <f t="shared" si="14"/>
        <v>1</v>
      </c>
      <c r="AA10" s="1" t="s">
        <v>92</v>
      </c>
      <c r="AB10" s="1">
        <f t="shared" si="15"/>
        <v>0</v>
      </c>
      <c r="AC10" s="1">
        <f t="shared" si="16"/>
        <v>0</v>
      </c>
    </row>
    <row r="11" ht="24.0" customHeight="1">
      <c r="A11" s="21">
        <v>1.0</v>
      </c>
      <c r="B11" s="22"/>
      <c r="C11" s="22"/>
      <c r="D11" s="23" t="s">
        <v>93</v>
      </c>
      <c r="E11" s="23" t="s">
        <v>94</v>
      </c>
      <c r="F11" s="24" t="s">
        <v>85</v>
      </c>
      <c r="G11" s="25">
        <v>6.0</v>
      </c>
      <c r="H11" s="25">
        <v>3.0</v>
      </c>
      <c r="I11" s="25">
        <v>6.0</v>
      </c>
      <c r="J11" s="25">
        <v>2.0</v>
      </c>
      <c r="K11" s="26"/>
      <c r="L11" s="26"/>
      <c r="M11" s="21" t="str">
        <f t="shared" si="1"/>
        <v>Alessandro Piccioni</v>
      </c>
      <c r="N11" s="27">
        <f t="shared" si="2"/>
        <v>15</v>
      </c>
      <c r="O11" s="27">
        <f t="shared" si="3"/>
        <v>5</v>
      </c>
      <c r="P11" s="21" t="str">
        <f t="shared" si="4"/>
        <v>OK</v>
      </c>
      <c r="Q11" s="1">
        <f t="shared" si="5"/>
        <v>12</v>
      </c>
      <c r="R11" s="1">
        <f t="shared" si="6"/>
        <v>5</v>
      </c>
      <c r="S11" s="1">
        <f t="shared" si="7"/>
        <v>3</v>
      </c>
      <c r="T11" s="1">
        <f t="shared" si="8"/>
        <v>0</v>
      </c>
      <c r="U11" s="1">
        <f t="shared" si="9"/>
        <v>1</v>
      </c>
      <c r="V11" s="1">
        <f t="shared" si="10"/>
        <v>1</v>
      </c>
      <c r="W11" s="1">
        <f t="shared" si="11"/>
        <v>0</v>
      </c>
      <c r="X11" s="1">
        <f t="shared" si="12"/>
        <v>1</v>
      </c>
      <c r="Y11" s="1">
        <f t="shared" si="13"/>
        <v>1</v>
      </c>
      <c r="Z11" s="1">
        <f t="shared" si="14"/>
        <v>1</v>
      </c>
      <c r="AA11" s="1" t="s">
        <v>95</v>
      </c>
      <c r="AB11" s="1">
        <f t="shared" si="15"/>
        <v>0</v>
      </c>
      <c r="AC11" s="1">
        <f t="shared" si="16"/>
        <v>0</v>
      </c>
    </row>
    <row r="12" ht="24.0" customHeight="1">
      <c r="A12" s="21">
        <v>1.0</v>
      </c>
      <c r="B12" s="22"/>
      <c r="C12" s="22"/>
      <c r="D12" s="23" t="s">
        <v>96</v>
      </c>
      <c r="E12" s="23" t="s">
        <v>97</v>
      </c>
      <c r="F12" s="24" t="s">
        <v>85</v>
      </c>
      <c r="G12" s="25">
        <v>2.0</v>
      </c>
      <c r="H12" s="25">
        <v>6.0</v>
      </c>
      <c r="I12" s="25">
        <v>6.0</v>
      </c>
      <c r="J12" s="25">
        <v>4.0</v>
      </c>
      <c r="K12" s="25">
        <v>10.0</v>
      </c>
      <c r="L12" s="25">
        <v>5.0</v>
      </c>
      <c r="M12" s="21" t="str">
        <f t="shared" si="1"/>
        <v>Francesco Artegiani</v>
      </c>
      <c r="N12" s="27">
        <f t="shared" si="2"/>
        <v>13</v>
      </c>
      <c r="O12" s="27">
        <f t="shared" si="3"/>
        <v>10</v>
      </c>
      <c r="P12" s="21" t="str">
        <f t="shared" si="4"/>
        <v>OK</v>
      </c>
      <c r="Q12" s="1">
        <f t="shared" si="5"/>
        <v>8</v>
      </c>
      <c r="R12" s="1">
        <f t="shared" si="6"/>
        <v>10</v>
      </c>
      <c r="S12" s="1">
        <f t="shared" si="7"/>
        <v>3</v>
      </c>
      <c r="T12" s="1">
        <f t="shared" si="8"/>
        <v>0</v>
      </c>
      <c r="U12" s="1">
        <f t="shared" si="9"/>
        <v>2</v>
      </c>
      <c r="V12" s="1">
        <f t="shared" si="10"/>
        <v>1</v>
      </c>
      <c r="W12" s="1">
        <f t="shared" si="11"/>
        <v>1</v>
      </c>
      <c r="X12" s="1">
        <f t="shared" si="12"/>
        <v>1</v>
      </c>
      <c r="Y12" s="1">
        <f t="shared" si="13"/>
        <v>1</v>
      </c>
      <c r="Z12" s="1">
        <f t="shared" si="14"/>
        <v>1</v>
      </c>
      <c r="AA12" s="1" t="s">
        <v>98</v>
      </c>
      <c r="AB12" s="1">
        <f t="shared" si="15"/>
        <v>2</v>
      </c>
      <c r="AC12" s="1">
        <f t="shared" si="16"/>
        <v>0</v>
      </c>
    </row>
    <row r="13" ht="24.0" customHeight="1">
      <c r="A13" s="21">
        <v>1.0</v>
      </c>
      <c r="B13" s="22"/>
      <c r="C13" s="22"/>
      <c r="D13" s="23" t="s">
        <v>99</v>
      </c>
      <c r="E13" s="23" t="s">
        <v>100</v>
      </c>
      <c r="F13" s="24" t="s">
        <v>85</v>
      </c>
      <c r="G13" s="25">
        <v>3.0</v>
      </c>
      <c r="H13" s="25">
        <v>6.0</v>
      </c>
      <c r="I13" s="25">
        <v>3.0</v>
      </c>
      <c r="J13" s="25">
        <v>6.0</v>
      </c>
      <c r="K13" s="26"/>
      <c r="L13" s="26"/>
      <c r="M13" s="21" t="str">
        <f t="shared" si="1"/>
        <v>Alessio Panfili</v>
      </c>
      <c r="N13" s="27">
        <f t="shared" si="2"/>
        <v>6</v>
      </c>
      <c r="O13" s="27">
        <f t="shared" si="3"/>
        <v>15</v>
      </c>
      <c r="P13" s="21" t="str">
        <f t="shared" si="4"/>
        <v>OK</v>
      </c>
      <c r="Q13" s="1">
        <f t="shared" si="5"/>
        <v>6</v>
      </c>
      <c r="R13" s="1">
        <f t="shared" si="6"/>
        <v>12</v>
      </c>
      <c r="S13" s="1">
        <f t="shared" si="7"/>
        <v>0</v>
      </c>
      <c r="T13" s="1">
        <f t="shared" si="8"/>
        <v>3</v>
      </c>
      <c r="U13" s="1">
        <f t="shared" si="9"/>
        <v>2</v>
      </c>
      <c r="V13" s="1">
        <f t="shared" si="10"/>
        <v>2</v>
      </c>
      <c r="W13" s="1">
        <f t="shared" si="11"/>
        <v>0</v>
      </c>
      <c r="X13" s="1">
        <f t="shared" si="12"/>
        <v>1</v>
      </c>
      <c r="Y13" s="1">
        <f t="shared" si="13"/>
        <v>2</v>
      </c>
      <c r="Z13" s="1">
        <f t="shared" si="14"/>
        <v>1</v>
      </c>
      <c r="AA13" s="1" t="s">
        <v>101</v>
      </c>
      <c r="AB13" s="1">
        <f t="shared" si="15"/>
        <v>0</v>
      </c>
      <c r="AC13" s="1">
        <f t="shared" si="16"/>
        <v>0</v>
      </c>
    </row>
    <row r="14" ht="24.0" customHeight="1">
      <c r="A14" s="29">
        <v>2.0</v>
      </c>
      <c r="B14" s="30"/>
      <c r="C14" s="30"/>
      <c r="D14" s="31" t="s">
        <v>57</v>
      </c>
      <c r="E14" s="31" t="s">
        <v>88</v>
      </c>
      <c r="F14" s="32"/>
      <c r="G14" s="17"/>
      <c r="H14" s="17"/>
      <c r="I14" s="17"/>
      <c r="J14" s="17"/>
      <c r="K14" s="17"/>
      <c r="L14" s="17"/>
      <c r="M14" s="29" t="str">
        <f t="shared" si="1"/>
        <v/>
      </c>
      <c r="N14" s="33" t="str">
        <f t="shared" si="2"/>
        <v/>
      </c>
      <c r="O14" s="33" t="str">
        <f t="shared" si="3"/>
        <v/>
      </c>
      <c r="P14" s="29" t="str">
        <f t="shared" si="4"/>
        <v>Da giocare</v>
      </c>
      <c r="Q14" s="3">
        <f t="shared" si="5"/>
        <v>0</v>
      </c>
      <c r="R14" s="3">
        <f t="shared" si="6"/>
        <v>0</v>
      </c>
      <c r="S14" s="3">
        <f t="shared" si="7"/>
        <v>0</v>
      </c>
      <c r="T14" s="3">
        <f t="shared" si="8"/>
        <v>0</v>
      </c>
      <c r="U14" s="3">
        <f t="shared" si="9"/>
        <v>0</v>
      </c>
      <c r="V14" s="3">
        <f t="shared" si="10"/>
        <v>0</v>
      </c>
      <c r="W14" s="3">
        <f t="shared" si="11"/>
        <v>0</v>
      </c>
      <c r="X14" s="3">
        <f t="shared" si="12"/>
        <v>0</v>
      </c>
      <c r="Y14" s="3">
        <f t="shared" si="13"/>
        <v>0</v>
      </c>
      <c r="Z14" s="3">
        <f t="shared" si="14"/>
        <v>0</v>
      </c>
      <c r="AA14" s="3" t="s">
        <v>102</v>
      </c>
      <c r="AB14" s="3">
        <f t="shared" si="15"/>
        <v>0</v>
      </c>
      <c r="AC14" s="3">
        <f t="shared" si="16"/>
        <v>0</v>
      </c>
    </row>
    <row r="15" ht="24.0" customHeight="1">
      <c r="A15" s="34">
        <v>2.0</v>
      </c>
      <c r="B15" s="35"/>
      <c r="C15" s="35"/>
      <c r="D15" s="36" t="s">
        <v>84</v>
      </c>
      <c r="E15" s="36" t="s">
        <v>91</v>
      </c>
      <c r="F15" s="24" t="s">
        <v>85</v>
      </c>
      <c r="G15" s="25">
        <v>0.0</v>
      </c>
      <c r="H15" s="25">
        <v>6.0</v>
      </c>
      <c r="I15" s="25">
        <v>2.0</v>
      </c>
      <c r="J15" s="25">
        <v>6.0</v>
      </c>
      <c r="K15" s="26"/>
      <c r="L15" s="26"/>
      <c r="M15" s="34" t="str">
        <f t="shared" si="1"/>
        <v>Federico Piccioni</v>
      </c>
      <c r="N15" s="37">
        <f t="shared" si="2"/>
        <v>2</v>
      </c>
      <c r="O15" s="37">
        <f t="shared" si="3"/>
        <v>15</v>
      </c>
      <c r="P15" s="34" t="str">
        <f t="shared" si="4"/>
        <v>OK</v>
      </c>
      <c r="Q15" s="3">
        <f t="shared" si="5"/>
        <v>2</v>
      </c>
      <c r="R15" s="3">
        <f t="shared" si="6"/>
        <v>12</v>
      </c>
      <c r="S15" s="3">
        <f t="shared" si="7"/>
        <v>0</v>
      </c>
      <c r="T15" s="3">
        <f t="shared" si="8"/>
        <v>3</v>
      </c>
      <c r="U15" s="3">
        <f t="shared" si="9"/>
        <v>2</v>
      </c>
      <c r="V15" s="3">
        <f t="shared" si="10"/>
        <v>2</v>
      </c>
      <c r="W15" s="3">
        <f t="shared" si="11"/>
        <v>0</v>
      </c>
      <c r="X15" s="3">
        <f t="shared" si="12"/>
        <v>1</v>
      </c>
      <c r="Y15" s="3">
        <f t="shared" si="13"/>
        <v>2</v>
      </c>
      <c r="Z15" s="3">
        <f t="shared" si="14"/>
        <v>1</v>
      </c>
      <c r="AA15" s="3" t="s">
        <v>117</v>
      </c>
      <c r="AB15" s="3">
        <f t="shared" si="15"/>
        <v>0</v>
      </c>
      <c r="AC15" s="3">
        <f t="shared" si="16"/>
        <v>0</v>
      </c>
    </row>
    <row r="16" ht="24.0" customHeight="1">
      <c r="A16" s="34">
        <v>2.0</v>
      </c>
      <c r="B16" s="35"/>
      <c r="C16" s="35"/>
      <c r="D16" s="36" t="s">
        <v>87</v>
      </c>
      <c r="E16" s="36" t="s">
        <v>94</v>
      </c>
      <c r="F16" s="43"/>
      <c r="G16" s="26"/>
      <c r="H16" s="26"/>
      <c r="I16" s="26"/>
      <c r="J16" s="26"/>
      <c r="K16" s="26"/>
      <c r="L16" s="26"/>
      <c r="M16" s="34" t="str">
        <f t="shared" si="1"/>
        <v/>
      </c>
      <c r="N16" s="37" t="str">
        <f t="shared" si="2"/>
        <v/>
      </c>
      <c r="O16" s="37" t="str">
        <f t="shared" si="3"/>
        <v/>
      </c>
      <c r="P16" s="34" t="str">
        <f t="shared" si="4"/>
        <v>Da giocare</v>
      </c>
      <c r="Q16" s="3">
        <f t="shared" si="5"/>
        <v>0</v>
      </c>
      <c r="R16" s="3">
        <f t="shared" si="6"/>
        <v>0</v>
      </c>
      <c r="S16" s="3">
        <f t="shared" si="7"/>
        <v>0</v>
      </c>
      <c r="T16" s="3">
        <f t="shared" si="8"/>
        <v>0</v>
      </c>
      <c r="U16" s="3">
        <f t="shared" si="9"/>
        <v>0</v>
      </c>
      <c r="V16" s="3">
        <f t="shared" si="10"/>
        <v>0</v>
      </c>
      <c r="W16" s="3">
        <f t="shared" si="11"/>
        <v>0</v>
      </c>
      <c r="X16" s="3">
        <f t="shared" si="12"/>
        <v>0</v>
      </c>
      <c r="Y16" s="3">
        <f t="shared" si="13"/>
        <v>0</v>
      </c>
      <c r="Z16" s="3">
        <f t="shared" si="14"/>
        <v>0</v>
      </c>
      <c r="AA16" s="3" t="s">
        <v>144</v>
      </c>
      <c r="AB16" s="3">
        <f t="shared" si="15"/>
        <v>0</v>
      </c>
      <c r="AC16" s="3">
        <f t="shared" si="16"/>
        <v>0</v>
      </c>
    </row>
    <row r="17" ht="24.0" customHeight="1">
      <c r="A17" s="34">
        <v>2.0</v>
      </c>
      <c r="B17" s="35"/>
      <c r="C17" s="35"/>
      <c r="D17" s="36" t="s">
        <v>90</v>
      </c>
      <c r="E17" s="36" t="s">
        <v>97</v>
      </c>
      <c r="F17" s="43"/>
      <c r="G17" s="26"/>
      <c r="H17" s="26"/>
      <c r="I17" s="26"/>
      <c r="J17" s="26"/>
      <c r="K17" s="26"/>
      <c r="L17" s="26"/>
      <c r="M17" s="34" t="str">
        <f t="shared" si="1"/>
        <v/>
      </c>
      <c r="N17" s="37" t="str">
        <f t="shared" si="2"/>
        <v/>
      </c>
      <c r="O17" s="37" t="str">
        <f t="shared" si="3"/>
        <v/>
      </c>
      <c r="P17" s="34" t="str">
        <f t="shared" si="4"/>
        <v>Da giocare</v>
      </c>
      <c r="Q17" s="3">
        <f t="shared" si="5"/>
        <v>0</v>
      </c>
      <c r="R17" s="3">
        <f t="shared" si="6"/>
        <v>0</v>
      </c>
      <c r="S17" s="3">
        <f t="shared" si="7"/>
        <v>0</v>
      </c>
      <c r="T17" s="3">
        <f t="shared" si="8"/>
        <v>0</v>
      </c>
      <c r="U17" s="3">
        <f t="shared" si="9"/>
        <v>0</v>
      </c>
      <c r="V17" s="3">
        <f t="shared" si="10"/>
        <v>0</v>
      </c>
      <c r="W17" s="3">
        <f t="shared" si="11"/>
        <v>0</v>
      </c>
      <c r="X17" s="3">
        <f t="shared" si="12"/>
        <v>0</v>
      </c>
      <c r="Y17" s="3">
        <f t="shared" si="13"/>
        <v>0</v>
      </c>
      <c r="Z17" s="3">
        <f t="shared" si="14"/>
        <v>0</v>
      </c>
      <c r="AA17" s="3" t="s">
        <v>145</v>
      </c>
      <c r="AB17" s="3">
        <f t="shared" si="15"/>
        <v>0</v>
      </c>
      <c r="AC17" s="3">
        <f t="shared" si="16"/>
        <v>0</v>
      </c>
    </row>
    <row r="18" ht="24.0" customHeight="1">
      <c r="A18" s="34">
        <v>2.0</v>
      </c>
      <c r="B18" s="35"/>
      <c r="C18" s="35"/>
      <c r="D18" s="36" t="s">
        <v>93</v>
      </c>
      <c r="E18" s="36" t="s">
        <v>100</v>
      </c>
      <c r="F18" s="24" t="s">
        <v>85</v>
      </c>
      <c r="G18" s="25">
        <v>4.0</v>
      </c>
      <c r="H18" s="25">
        <v>6.0</v>
      </c>
      <c r="I18" s="25">
        <v>6.0</v>
      </c>
      <c r="J18" s="25">
        <v>3.0</v>
      </c>
      <c r="K18" s="25">
        <v>9.0</v>
      </c>
      <c r="L18" s="25">
        <v>11.0</v>
      </c>
      <c r="M18" s="34" t="str">
        <f t="shared" si="1"/>
        <v>Alessio Panfili</v>
      </c>
      <c r="N18" s="37">
        <f t="shared" si="2"/>
        <v>10</v>
      </c>
      <c r="O18" s="37">
        <f t="shared" si="3"/>
        <v>13</v>
      </c>
      <c r="P18" s="34" t="str">
        <f t="shared" si="4"/>
        <v>OK</v>
      </c>
      <c r="Q18" s="3">
        <f t="shared" si="5"/>
        <v>10</v>
      </c>
      <c r="R18" s="3">
        <f t="shared" si="6"/>
        <v>9</v>
      </c>
      <c r="S18" s="3">
        <f t="shared" si="7"/>
        <v>0</v>
      </c>
      <c r="T18" s="3">
        <f t="shared" si="8"/>
        <v>3</v>
      </c>
      <c r="U18" s="3">
        <f t="shared" si="9"/>
        <v>2</v>
      </c>
      <c r="V18" s="3">
        <f t="shared" si="10"/>
        <v>1</v>
      </c>
      <c r="W18" s="3">
        <f t="shared" si="11"/>
        <v>2</v>
      </c>
      <c r="X18" s="3">
        <f t="shared" si="12"/>
        <v>1</v>
      </c>
      <c r="Y18" s="3">
        <f t="shared" si="13"/>
        <v>2</v>
      </c>
      <c r="Z18" s="3">
        <f t="shared" si="14"/>
        <v>1</v>
      </c>
      <c r="AA18" s="3" t="s">
        <v>146</v>
      </c>
      <c r="AB18" s="3">
        <f t="shared" si="15"/>
        <v>0</v>
      </c>
      <c r="AC18" s="3">
        <f t="shared" si="16"/>
        <v>1</v>
      </c>
    </row>
    <row r="19" ht="24.0" customHeight="1">
      <c r="A19" s="34">
        <v>2.0</v>
      </c>
      <c r="B19" s="35"/>
      <c r="C19" s="35"/>
      <c r="D19" s="36" t="s">
        <v>96</v>
      </c>
      <c r="E19" s="36" t="s">
        <v>99</v>
      </c>
      <c r="F19" s="43"/>
      <c r="G19" s="26"/>
      <c r="H19" s="26"/>
      <c r="I19" s="26"/>
      <c r="J19" s="26"/>
      <c r="K19" s="26"/>
      <c r="L19" s="26"/>
      <c r="M19" s="34" t="str">
        <f t="shared" si="1"/>
        <v/>
      </c>
      <c r="N19" s="37" t="str">
        <f t="shared" si="2"/>
        <v/>
      </c>
      <c r="O19" s="37" t="str">
        <f t="shared" si="3"/>
        <v/>
      </c>
      <c r="P19" s="34" t="str">
        <f t="shared" si="4"/>
        <v>Da giocare</v>
      </c>
      <c r="Q19" s="3">
        <f t="shared" si="5"/>
        <v>0</v>
      </c>
      <c r="R19" s="3">
        <f t="shared" si="6"/>
        <v>0</v>
      </c>
      <c r="S19" s="3">
        <f t="shared" si="7"/>
        <v>0</v>
      </c>
      <c r="T19" s="3">
        <f t="shared" si="8"/>
        <v>0</v>
      </c>
      <c r="U19" s="3">
        <f t="shared" si="9"/>
        <v>0</v>
      </c>
      <c r="V19" s="3">
        <f t="shared" si="10"/>
        <v>0</v>
      </c>
      <c r="W19" s="3">
        <f t="shared" si="11"/>
        <v>0</v>
      </c>
      <c r="X19" s="3">
        <f t="shared" si="12"/>
        <v>0</v>
      </c>
      <c r="Y19" s="3">
        <f t="shared" si="13"/>
        <v>0</v>
      </c>
      <c r="Z19" s="3">
        <f t="shared" si="14"/>
        <v>0</v>
      </c>
      <c r="AA19" s="3" t="s">
        <v>147</v>
      </c>
      <c r="AB19" s="3">
        <f t="shared" si="15"/>
        <v>0</v>
      </c>
      <c r="AC19" s="3">
        <f t="shared" si="16"/>
        <v>0</v>
      </c>
    </row>
    <row r="20" ht="24.0" customHeight="1">
      <c r="A20" s="11">
        <v>3.0</v>
      </c>
      <c r="B20" s="12"/>
      <c r="C20" s="12"/>
      <c r="D20" s="13" t="s">
        <v>57</v>
      </c>
      <c r="E20" s="13" t="s">
        <v>91</v>
      </c>
      <c r="F20" s="32"/>
      <c r="G20" s="17"/>
      <c r="H20" s="17"/>
      <c r="I20" s="17"/>
      <c r="J20" s="17"/>
      <c r="K20" s="17"/>
      <c r="L20" s="17"/>
      <c r="M20" s="11" t="str">
        <f t="shared" si="1"/>
        <v/>
      </c>
      <c r="N20" s="20" t="str">
        <f t="shared" si="2"/>
        <v/>
      </c>
      <c r="O20" s="20" t="str">
        <f t="shared" si="3"/>
        <v/>
      </c>
      <c r="P20" s="11" t="str">
        <f t="shared" si="4"/>
        <v>Da giocare</v>
      </c>
      <c r="Q20" s="1">
        <f t="shared" si="5"/>
        <v>0</v>
      </c>
      <c r="R20" s="1">
        <f t="shared" si="6"/>
        <v>0</v>
      </c>
      <c r="S20" s="1">
        <f t="shared" si="7"/>
        <v>0</v>
      </c>
      <c r="T20" s="1">
        <f t="shared" si="8"/>
        <v>0</v>
      </c>
      <c r="U20" s="1">
        <f t="shared" si="9"/>
        <v>0</v>
      </c>
      <c r="V20" s="1">
        <f t="shared" si="10"/>
        <v>0</v>
      </c>
      <c r="W20" s="1">
        <f t="shared" si="11"/>
        <v>0</v>
      </c>
      <c r="X20" s="1">
        <f t="shared" si="12"/>
        <v>0</v>
      </c>
      <c r="Y20" s="1">
        <f t="shared" si="13"/>
        <v>0</v>
      </c>
      <c r="Z20" s="1">
        <f t="shared" si="14"/>
        <v>0</v>
      </c>
      <c r="AA20" s="1" t="s">
        <v>148</v>
      </c>
      <c r="AB20" s="1">
        <f t="shared" si="15"/>
        <v>0</v>
      </c>
      <c r="AC20" s="1">
        <f t="shared" si="16"/>
        <v>0</v>
      </c>
    </row>
    <row r="21" ht="24.0" customHeight="1">
      <c r="A21" s="21">
        <v>3.0</v>
      </c>
      <c r="B21" s="22"/>
      <c r="C21" s="22"/>
      <c r="D21" s="23" t="s">
        <v>88</v>
      </c>
      <c r="E21" s="23" t="s">
        <v>94</v>
      </c>
      <c r="F21" s="43"/>
      <c r="G21" s="26"/>
      <c r="H21" s="26"/>
      <c r="I21" s="26"/>
      <c r="J21" s="26"/>
      <c r="K21" s="26"/>
      <c r="L21" s="26"/>
      <c r="M21" s="21" t="str">
        <f t="shared" si="1"/>
        <v/>
      </c>
      <c r="N21" s="27" t="str">
        <f t="shared" si="2"/>
        <v/>
      </c>
      <c r="O21" s="27" t="str">
        <f t="shared" si="3"/>
        <v/>
      </c>
      <c r="P21" s="21" t="str">
        <f t="shared" si="4"/>
        <v>Da giocare</v>
      </c>
      <c r="Q21" s="1">
        <f t="shared" si="5"/>
        <v>0</v>
      </c>
      <c r="R21" s="1">
        <f t="shared" si="6"/>
        <v>0</v>
      </c>
      <c r="S21" s="1">
        <f t="shared" si="7"/>
        <v>0</v>
      </c>
      <c r="T21" s="1">
        <f t="shared" si="8"/>
        <v>0</v>
      </c>
      <c r="U21" s="1">
        <f t="shared" si="9"/>
        <v>0</v>
      </c>
      <c r="V21" s="1">
        <f t="shared" si="10"/>
        <v>0</v>
      </c>
      <c r="W21" s="1">
        <f t="shared" si="11"/>
        <v>0</v>
      </c>
      <c r="X21" s="1">
        <f t="shared" si="12"/>
        <v>0</v>
      </c>
      <c r="Y21" s="1">
        <f t="shared" si="13"/>
        <v>0</v>
      </c>
      <c r="Z21" s="1">
        <f t="shared" si="14"/>
        <v>0</v>
      </c>
      <c r="AA21" s="1" t="s">
        <v>149</v>
      </c>
      <c r="AB21" s="1">
        <f t="shared" si="15"/>
        <v>0</v>
      </c>
      <c r="AC21" s="1">
        <f t="shared" si="16"/>
        <v>0</v>
      </c>
    </row>
    <row r="22" ht="24.0" customHeight="1">
      <c r="A22" s="21">
        <v>3.0</v>
      </c>
      <c r="B22" s="22"/>
      <c r="C22" s="22"/>
      <c r="D22" s="23" t="s">
        <v>84</v>
      </c>
      <c r="E22" s="23" t="s">
        <v>97</v>
      </c>
      <c r="F22" s="43"/>
      <c r="G22" s="26"/>
      <c r="H22" s="26"/>
      <c r="I22" s="26"/>
      <c r="J22" s="26"/>
      <c r="K22" s="26"/>
      <c r="L22" s="26"/>
      <c r="M22" s="21" t="str">
        <f t="shared" si="1"/>
        <v/>
      </c>
      <c r="N22" s="27" t="str">
        <f t="shared" si="2"/>
        <v/>
      </c>
      <c r="O22" s="27" t="str">
        <f t="shared" si="3"/>
        <v/>
      </c>
      <c r="P22" s="21" t="str">
        <f t="shared" si="4"/>
        <v>Da giocare</v>
      </c>
      <c r="Q22" s="1">
        <f t="shared" si="5"/>
        <v>0</v>
      </c>
      <c r="R22" s="1">
        <f t="shared" si="6"/>
        <v>0</v>
      </c>
      <c r="S22" s="1">
        <f t="shared" si="7"/>
        <v>0</v>
      </c>
      <c r="T22" s="1">
        <f t="shared" si="8"/>
        <v>0</v>
      </c>
      <c r="U22" s="1">
        <f t="shared" si="9"/>
        <v>0</v>
      </c>
      <c r="V22" s="1">
        <f t="shared" si="10"/>
        <v>0</v>
      </c>
      <c r="W22" s="1">
        <f t="shared" si="11"/>
        <v>0</v>
      </c>
      <c r="X22" s="1">
        <f t="shared" si="12"/>
        <v>0</v>
      </c>
      <c r="Y22" s="1">
        <f t="shared" si="13"/>
        <v>0</v>
      </c>
      <c r="Z22" s="1">
        <f t="shared" si="14"/>
        <v>0</v>
      </c>
      <c r="AA22" s="1" t="s">
        <v>150</v>
      </c>
      <c r="AB22" s="1">
        <f t="shared" si="15"/>
        <v>0</v>
      </c>
      <c r="AC22" s="1">
        <f t="shared" si="16"/>
        <v>0</v>
      </c>
    </row>
    <row r="23" ht="24.0" customHeight="1">
      <c r="A23" s="21">
        <v>3.0</v>
      </c>
      <c r="B23" s="22"/>
      <c r="C23" s="22"/>
      <c r="D23" s="23" t="s">
        <v>87</v>
      </c>
      <c r="E23" s="23" t="s">
        <v>100</v>
      </c>
      <c r="F23" s="43"/>
      <c r="G23" s="26"/>
      <c r="H23" s="26"/>
      <c r="I23" s="26"/>
      <c r="J23" s="26"/>
      <c r="K23" s="26"/>
      <c r="L23" s="26"/>
      <c r="M23" s="21" t="str">
        <f t="shared" si="1"/>
        <v/>
      </c>
      <c r="N23" s="27" t="str">
        <f t="shared" si="2"/>
        <v/>
      </c>
      <c r="O23" s="27" t="str">
        <f t="shared" si="3"/>
        <v/>
      </c>
      <c r="P23" s="21" t="str">
        <f t="shared" si="4"/>
        <v>Da giocare</v>
      </c>
      <c r="Q23" s="1">
        <f t="shared" si="5"/>
        <v>0</v>
      </c>
      <c r="R23" s="1">
        <f t="shared" si="6"/>
        <v>0</v>
      </c>
      <c r="S23" s="1">
        <f t="shared" si="7"/>
        <v>0</v>
      </c>
      <c r="T23" s="1">
        <f t="shared" si="8"/>
        <v>0</v>
      </c>
      <c r="U23" s="1">
        <f t="shared" si="9"/>
        <v>0</v>
      </c>
      <c r="V23" s="1">
        <f t="shared" si="10"/>
        <v>0</v>
      </c>
      <c r="W23" s="1">
        <f t="shared" si="11"/>
        <v>0</v>
      </c>
      <c r="X23" s="1">
        <f t="shared" si="12"/>
        <v>0</v>
      </c>
      <c r="Y23" s="1">
        <f t="shared" si="13"/>
        <v>0</v>
      </c>
      <c r="Z23" s="1">
        <f t="shared" si="14"/>
        <v>0</v>
      </c>
      <c r="AA23" s="1" t="s">
        <v>151</v>
      </c>
      <c r="AB23" s="1">
        <f t="shared" si="15"/>
        <v>0</v>
      </c>
      <c r="AC23" s="1">
        <f t="shared" si="16"/>
        <v>0</v>
      </c>
    </row>
    <row r="24" ht="24.0" customHeight="1">
      <c r="A24" s="21">
        <v>3.0</v>
      </c>
      <c r="B24" s="22"/>
      <c r="C24" s="22"/>
      <c r="D24" s="23" t="s">
        <v>90</v>
      </c>
      <c r="E24" s="23" t="s">
        <v>99</v>
      </c>
      <c r="F24" s="43"/>
      <c r="G24" s="26"/>
      <c r="H24" s="26"/>
      <c r="I24" s="26"/>
      <c r="J24" s="26"/>
      <c r="K24" s="26"/>
      <c r="L24" s="26"/>
      <c r="M24" s="21" t="str">
        <f t="shared" si="1"/>
        <v/>
      </c>
      <c r="N24" s="27" t="str">
        <f t="shared" si="2"/>
        <v/>
      </c>
      <c r="O24" s="27" t="str">
        <f t="shared" si="3"/>
        <v/>
      </c>
      <c r="P24" s="21" t="str">
        <f t="shared" si="4"/>
        <v>Da giocare</v>
      </c>
      <c r="Q24" s="1">
        <f t="shared" si="5"/>
        <v>0</v>
      </c>
      <c r="R24" s="1">
        <f t="shared" si="6"/>
        <v>0</v>
      </c>
      <c r="S24" s="1">
        <f t="shared" si="7"/>
        <v>0</v>
      </c>
      <c r="T24" s="1">
        <f t="shared" si="8"/>
        <v>0</v>
      </c>
      <c r="U24" s="1">
        <f t="shared" si="9"/>
        <v>0</v>
      </c>
      <c r="V24" s="1">
        <f t="shared" si="10"/>
        <v>0</v>
      </c>
      <c r="W24" s="1">
        <f t="shared" si="11"/>
        <v>0</v>
      </c>
      <c r="X24" s="1">
        <f t="shared" si="12"/>
        <v>0</v>
      </c>
      <c r="Y24" s="1">
        <f t="shared" si="13"/>
        <v>0</v>
      </c>
      <c r="Z24" s="1">
        <f t="shared" si="14"/>
        <v>0</v>
      </c>
      <c r="AA24" s="1" t="s">
        <v>152</v>
      </c>
      <c r="AB24" s="1">
        <f t="shared" si="15"/>
        <v>0</v>
      </c>
      <c r="AC24" s="1">
        <f t="shared" si="16"/>
        <v>0</v>
      </c>
    </row>
    <row r="25" ht="24.0" customHeight="1">
      <c r="A25" s="21">
        <v>3.0</v>
      </c>
      <c r="B25" s="22"/>
      <c r="C25" s="22"/>
      <c r="D25" s="23" t="s">
        <v>93</v>
      </c>
      <c r="E25" s="23" t="s">
        <v>96</v>
      </c>
      <c r="F25" s="43"/>
      <c r="G25" s="26"/>
      <c r="H25" s="26"/>
      <c r="I25" s="26"/>
      <c r="J25" s="26"/>
      <c r="K25" s="26"/>
      <c r="L25" s="26"/>
      <c r="M25" s="21" t="str">
        <f t="shared" si="1"/>
        <v/>
      </c>
      <c r="N25" s="27" t="str">
        <f t="shared" si="2"/>
        <v/>
      </c>
      <c r="O25" s="27" t="str">
        <f t="shared" si="3"/>
        <v/>
      </c>
      <c r="P25" s="21" t="str">
        <f t="shared" si="4"/>
        <v>Da giocare</v>
      </c>
      <c r="Q25" s="1">
        <f t="shared" si="5"/>
        <v>0</v>
      </c>
      <c r="R25" s="1">
        <f t="shared" si="6"/>
        <v>0</v>
      </c>
      <c r="S25" s="1">
        <f t="shared" si="7"/>
        <v>0</v>
      </c>
      <c r="T25" s="1">
        <f t="shared" si="8"/>
        <v>0</v>
      </c>
      <c r="U25" s="1">
        <f t="shared" si="9"/>
        <v>0</v>
      </c>
      <c r="V25" s="1">
        <f t="shared" si="10"/>
        <v>0</v>
      </c>
      <c r="W25" s="1">
        <f t="shared" si="11"/>
        <v>0</v>
      </c>
      <c r="X25" s="1">
        <f t="shared" si="12"/>
        <v>0</v>
      </c>
      <c r="Y25" s="1">
        <f t="shared" si="13"/>
        <v>0</v>
      </c>
      <c r="Z25" s="1">
        <f t="shared" si="14"/>
        <v>0</v>
      </c>
      <c r="AA25" s="1" t="s">
        <v>153</v>
      </c>
      <c r="AB25" s="1">
        <f t="shared" si="15"/>
        <v>0</v>
      </c>
      <c r="AC25" s="1">
        <f t="shared" si="16"/>
        <v>0</v>
      </c>
    </row>
    <row r="26" ht="24.0" customHeight="1">
      <c r="A26" s="29">
        <v>4.0</v>
      </c>
      <c r="B26" s="30"/>
      <c r="C26" s="30"/>
      <c r="D26" s="31" t="s">
        <v>57</v>
      </c>
      <c r="E26" s="31" t="s">
        <v>94</v>
      </c>
      <c r="F26" s="32"/>
      <c r="G26" s="17"/>
      <c r="H26" s="17"/>
      <c r="I26" s="17"/>
      <c r="J26" s="17"/>
      <c r="K26" s="17"/>
      <c r="L26" s="17"/>
      <c r="M26" s="29" t="str">
        <f t="shared" si="1"/>
        <v/>
      </c>
      <c r="N26" s="33" t="str">
        <f t="shared" si="2"/>
        <v/>
      </c>
      <c r="O26" s="33" t="str">
        <f t="shared" si="3"/>
        <v/>
      </c>
      <c r="P26" s="29" t="str">
        <f t="shared" si="4"/>
        <v>Da giocare</v>
      </c>
      <c r="Q26" s="3">
        <f t="shared" si="5"/>
        <v>0</v>
      </c>
      <c r="R26" s="3">
        <f t="shared" si="6"/>
        <v>0</v>
      </c>
      <c r="S26" s="3">
        <f t="shared" si="7"/>
        <v>0</v>
      </c>
      <c r="T26" s="3">
        <f t="shared" si="8"/>
        <v>0</v>
      </c>
      <c r="U26" s="3">
        <f t="shared" si="9"/>
        <v>0</v>
      </c>
      <c r="V26" s="3">
        <f t="shared" si="10"/>
        <v>0</v>
      </c>
      <c r="W26" s="3">
        <f t="shared" si="11"/>
        <v>0</v>
      </c>
      <c r="X26" s="3">
        <f t="shared" si="12"/>
        <v>0</v>
      </c>
      <c r="Y26" s="3">
        <f t="shared" si="13"/>
        <v>0</v>
      </c>
      <c r="Z26" s="3">
        <f t="shared" si="14"/>
        <v>0</v>
      </c>
      <c r="AA26" s="3" t="s">
        <v>154</v>
      </c>
      <c r="AB26" s="3">
        <f t="shared" si="15"/>
        <v>0</v>
      </c>
      <c r="AC26" s="3">
        <f t="shared" si="16"/>
        <v>0</v>
      </c>
    </row>
    <row r="27" ht="24.0" customHeight="1">
      <c r="A27" s="34">
        <v>4.0</v>
      </c>
      <c r="B27" s="35"/>
      <c r="C27" s="35"/>
      <c r="D27" s="36" t="s">
        <v>91</v>
      </c>
      <c r="E27" s="36" t="s">
        <v>97</v>
      </c>
      <c r="F27" s="43"/>
      <c r="G27" s="26"/>
      <c r="H27" s="26"/>
      <c r="I27" s="26"/>
      <c r="J27" s="26"/>
      <c r="K27" s="26"/>
      <c r="L27" s="26"/>
      <c r="M27" s="34" t="str">
        <f t="shared" si="1"/>
        <v/>
      </c>
      <c r="N27" s="37" t="str">
        <f t="shared" si="2"/>
        <v/>
      </c>
      <c r="O27" s="37" t="str">
        <f t="shared" si="3"/>
        <v/>
      </c>
      <c r="P27" s="34" t="str">
        <f t="shared" si="4"/>
        <v>Da giocare</v>
      </c>
      <c r="Q27" s="3">
        <f t="shared" si="5"/>
        <v>0</v>
      </c>
      <c r="R27" s="3">
        <f t="shared" si="6"/>
        <v>0</v>
      </c>
      <c r="S27" s="3">
        <f t="shared" si="7"/>
        <v>0</v>
      </c>
      <c r="T27" s="3">
        <f t="shared" si="8"/>
        <v>0</v>
      </c>
      <c r="U27" s="3">
        <f t="shared" si="9"/>
        <v>0</v>
      </c>
      <c r="V27" s="3">
        <f t="shared" si="10"/>
        <v>0</v>
      </c>
      <c r="W27" s="3">
        <f t="shared" si="11"/>
        <v>0</v>
      </c>
      <c r="X27" s="3">
        <f t="shared" si="12"/>
        <v>0</v>
      </c>
      <c r="Y27" s="3">
        <f t="shared" si="13"/>
        <v>0</v>
      </c>
      <c r="Z27" s="3">
        <f t="shared" si="14"/>
        <v>0</v>
      </c>
      <c r="AA27" s="3" t="s">
        <v>155</v>
      </c>
      <c r="AB27" s="3">
        <f t="shared" si="15"/>
        <v>0</v>
      </c>
      <c r="AC27" s="3">
        <f t="shared" si="16"/>
        <v>0</v>
      </c>
    </row>
    <row r="28" ht="24.0" customHeight="1">
      <c r="A28" s="34">
        <v>4.0</v>
      </c>
      <c r="B28" s="35"/>
      <c r="C28" s="35"/>
      <c r="D28" s="36" t="s">
        <v>88</v>
      </c>
      <c r="E28" s="36" t="s">
        <v>100</v>
      </c>
      <c r="F28" s="43"/>
      <c r="G28" s="26"/>
      <c r="H28" s="26"/>
      <c r="I28" s="26"/>
      <c r="J28" s="26"/>
      <c r="K28" s="26"/>
      <c r="L28" s="26"/>
      <c r="M28" s="34" t="str">
        <f t="shared" si="1"/>
        <v/>
      </c>
      <c r="N28" s="37" t="str">
        <f t="shared" si="2"/>
        <v/>
      </c>
      <c r="O28" s="37" t="str">
        <f t="shared" si="3"/>
        <v/>
      </c>
      <c r="P28" s="34" t="str">
        <f t="shared" si="4"/>
        <v>Da giocare</v>
      </c>
      <c r="Q28" s="3">
        <f t="shared" si="5"/>
        <v>0</v>
      </c>
      <c r="R28" s="3">
        <f t="shared" si="6"/>
        <v>0</v>
      </c>
      <c r="S28" s="3">
        <f t="shared" si="7"/>
        <v>0</v>
      </c>
      <c r="T28" s="3">
        <f t="shared" si="8"/>
        <v>0</v>
      </c>
      <c r="U28" s="3">
        <f t="shared" si="9"/>
        <v>0</v>
      </c>
      <c r="V28" s="3">
        <f t="shared" si="10"/>
        <v>0</v>
      </c>
      <c r="W28" s="3">
        <f t="shared" si="11"/>
        <v>0</v>
      </c>
      <c r="X28" s="3">
        <f t="shared" si="12"/>
        <v>0</v>
      </c>
      <c r="Y28" s="3">
        <f t="shared" si="13"/>
        <v>0</v>
      </c>
      <c r="Z28" s="3">
        <f t="shared" si="14"/>
        <v>0</v>
      </c>
      <c r="AA28" s="3" t="s">
        <v>156</v>
      </c>
      <c r="AB28" s="3">
        <f t="shared" si="15"/>
        <v>0</v>
      </c>
      <c r="AC28" s="3">
        <f t="shared" si="16"/>
        <v>0</v>
      </c>
    </row>
    <row r="29" ht="24.0" customHeight="1">
      <c r="A29" s="34">
        <v>4.0</v>
      </c>
      <c r="B29" s="35"/>
      <c r="C29" s="35"/>
      <c r="D29" s="36" t="s">
        <v>84</v>
      </c>
      <c r="E29" s="36" t="s">
        <v>99</v>
      </c>
      <c r="F29" s="43"/>
      <c r="G29" s="26"/>
      <c r="H29" s="26"/>
      <c r="I29" s="26"/>
      <c r="J29" s="26"/>
      <c r="K29" s="26"/>
      <c r="L29" s="26"/>
      <c r="M29" s="34" t="str">
        <f t="shared" si="1"/>
        <v/>
      </c>
      <c r="N29" s="37" t="str">
        <f t="shared" si="2"/>
        <v/>
      </c>
      <c r="O29" s="37" t="str">
        <f t="shared" si="3"/>
        <v/>
      </c>
      <c r="P29" s="34" t="str">
        <f t="shared" si="4"/>
        <v>Da giocare</v>
      </c>
      <c r="Q29" s="3">
        <f t="shared" si="5"/>
        <v>0</v>
      </c>
      <c r="R29" s="3">
        <f t="shared" si="6"/>
        <v>0</v>
      </c>
      <c r="S29" s="3">
        <f t="shared" si="7"/>
        <v>0</v>
      </c>
      <c r="T29" s="3">
        <f t="shared" si="8"/>
        <v>0</v>
      </c>
      <c r="U29" s="3">
        <f t="shared" si="9"/>
        <v>0</v>
      </c>
      <c r="V29" s="3">
        <f t="shared" si="10"/>
        <v>0</v>
      </c>
      <c r="W29" s="3">
        <f t="shared" si="11"/>
        <v>0</v>
      </c>
      <c r="X29" s="3">
        <f t="shared" si="12"/>
        <v>0</v>
      </c>
      <c r="Y29" s="3">
        <f t="shared" si="13"/>
        <v>0</v>
      </c>
      <c r="Z29" s="3">
        <f t="shared" si="14"/>
        <v>0</v>
      </c>
      <c r="AA29" s="3" t="s">
        <v>157</v>
      </c>
      <c r="AB29" s="3">
        <f t="shared" si="15"/>
        <v>0</v>
      </c>
      <c r="AC29" s="3">
        <f t="shared" si="16"/>
        <v>0</v>
      </c>
    </row>
    <row r="30" ht="24.0" customHeight="1">
      <c r="A30" s="34">
        <v>4.0</v>
      </c>
      <c r="B30" s="35"/>
      <c r="C30" s="35"/>
      <c r="D30" s="36" t="s">
        <v>87</v>
      </c>
      <c r="E30" s="36" t="s">
        <v>96</v>
      </c>
      <c r="F30" s="43"/>
      <c r="G30" s="26"/>
      <c r="H30" s="26"/>
      <c r="I30" s="26"/>
      <c r="J30" s="26"/>
      <c r="K30" s="26"/>
      <c r="L30" s="26"/>
      <c r="M30" s="34" t="str">
        <f t="shared" si="1"/>
        <v/>
      </c>
      <c r="N30" s="37" t="str">
        <f t="shared" si="2"/>
        <v/>
      </c>
      <c r="O30" s="37" t="str">
        <f t="shared" si="3"/>
        <v/>
      </c>
      <c r="P30" s="34" t="str">
        <f t="shared" si="4"/>
        <v>Da giocare</v>
      </c>
      <c r="Q30" s="3">
        <f t="shared" si="5"/>
        <v>0</v>
      </c>
      <c r="R30" s="3">
        <f t="shared" si="6"/>
        <v>0</v>
      </c>
      <c r="S30" s="3">
        <f t="shared" si="7"/>
        <v>0</v>
      </c>
      <c r="T30" s="3">
        <f t="shared" si="8"/>
        <v>0</v>
      </c>
      <c r="U30" s="3">
        <f t="shared" si="9"/>
        <v>0</v>
      </c>
      <c r="V30" s="3">
        <f t="shared" si="10"/>
        <v>0</v>
      </c>
      <c r="W30" s="3">
        <f t="shared" si="11"/>
        <v>0</v>
      </c>
      <c r="X30" s="3">
        <f t="shared" si="12"/>
        <v>0</v>
      </c>
      <c r="Y30" s="3">
        <f t="shared" si="13"/>
        <v>0</v>
      </c>
      <c r="Z30" s="3">
        <f t="shared" si="14"/>
        <v>0</v>
      </c>
      <c r="AA30" s="3" t="s">
        <v>158</v>
      </c>
      <c r="AB30" s="3">
        <f t="shared" si="15"/>
        <v>0</v>
      </c>
      <c r="AC30" s="3">
        <f t="shared" si="16"/>
        <v>0</v>
      </c>
    </row>
    <row r="31" ht="24.0" customHeight="1">
      <c r="A31" s="34">
        <v>4.0</v>
      </c>
      <c r="B31" s="35"/>
      <c r="C31" s="35"/>
      <c r="D31" s="36" t="s">
        <v>90</v>
      </c>
      <c r="E31" s="36" t="s">
        <v>93</v>
      </c>
      <c r="F31" s="43"/>
      <c r="G31" s="26"/>
      <c r="H31" s="26"/>
      <c r="I31" s="26"/>
      <c r="J31" s="26"/>
      <c r="K31" s="26"/>
      <c r="L31" s="26"/>
      <c r="M31" s="34" t="str">
        <f t="shared" si="1"/>
        <v/>
      </c>
      <c r="N31" s="37" t="str">
        <f t="shared" si="2"/>
        <v/>
      </c>
      <c r="O31" s="37" t="str">
        <f t="shared" si="3"/>
        <v/>
      </c>
      <c r="P31" s="34" t="str">
        <f t="shared" si="4"/>
        <v>Da giocare</v>
      </c>
      <c r="Q31" s="3">
        <f t="shared" si="5"/>
        <v>0</v>
      </c>
      <c r="R31" s="3">
        <f t="shared" si="6"/>
        <v>0</v>
      </c>
      <c r="S31" s="3">
        <f t="shared" si="7"/>
        <v>0</v>
      </c>
      <c r="T31" s="3">
        <f t="shared" si="8"/>
        <v>0</v>
      </c>
      <c r="U31" s="3">
        <f t="shared" si="9"/>
        <v>0</v>
      </c>
      <c r="V31" s="3">
        <f t="shared" si="10"/>
        <v>0</v>
      </c>
      <c r="W31" s="3">
        <f t="shared" si="11"/>
        <v>0</v>
      </c>
      <c r="X31" s="3">
        <f t="shared" si="12"/>
        <v>0</v>
      </c>
      <c r="Y31" s="3">
        <f t="shared" si="13"/>
        <v>0</v>
      </c>
      <c r="Z31" s="3">
        <f t="shared" si="14"/>
        <v>0</v>
      </c>
      <c r="AA31" s="3" t="s">
        <v>159</v>
      </c>
      <c r="AB31" s="3">
        <f t="shared" si="15"/>
        <v>0</v>
      </c>
      <c r="AC31" s="3">
        <f t="shared" si="16"/>
        <v>0</v>
      </c>
    </row>
    <row r="32" ht="24.0" customHeight="1">
      <c r="A32" s="11">
        <v>5.0</v>
      </c>
      <c r="B32" s="12"/>
      <c r="C32" s="12"/>
      <c r="D32" s="13" t="s">
        <v>57</v>
      </c>
      <c r="E32" s="13" t="s">
        <v>97</v>
      </c>
      <c r="F32" s="32"/>
      <c r="G32" s="17"/>
      <c r="H32" s="17"/>
      <c r="I32" s="17"/>
      <c r="J32" s="17"/>
      <c r="K32" s="17"/>
      <c r="L32" s="17"/>
      <c r="M32" s="11" t="str">
        <f t="shared" si="1"/>
        <v/>
      </c>
      <c r="N32" s="20" t="str">
        <f t="shared" si="2"/>
        <v/>
      </c>
      <c r="O32" s="20" t="str">
        <f t="shared" si="3"/>
        <v/>
      </c>
      <c r="P32" s="11" t="str">
        <f t="shared" si="4"/>
        <v>Da giocare</v>
      </c>
      <c r="Q32" s="1">
        <f t="shared" si="5"/>
        <v>0</v>
      </c>
      <c r="R32" s="1">
        <f t="shared" si="6"/>
        <v>0</v>
      </c>
      <c r="S32" s="1">
        <f t="shared" si="7"/>
        <v>0</v>
      </c>
      <c r="T32" s="1">
        <f t="shared" si="8"/>
        <v>0</v>
      </c>
      <c r="U32" s="1">
        <f t="shared" si="9"/>
        <v>0</v>
      </c>
      <c r="V32" s="1">
        <f t="shared" si="10"/>
        <v>0</v>
      </c>
      <c r="W32" s="1">
        <f t="shared" si="11"/>
        <v>0</v>
      </c>
      <c r="X32" s="1">
        <f t="shared" si="12"/>
        <v>0</v>
      </c>
      <c r="Y32" s="1">
        <f t="shared" si="13"/>
        <v>0</v>
      </c>
      <c r="Z32" s="1">
        <f t="shared" si="14"/>
        <v>0</v>
      </c>
      <c r="AA32" s="1" t="s">
        <v>160</v>
      </c>
      <c r="AB32" s="1">
        <f t="shared" si="15"/>
        <v>0</v>
      </c>
      <c r="AC32" s="1">
        <f t="shared" si="16"/>
        <v>0</v>
      </c>
    </row>
    <row r="33" ht="24.0" customHeight="1">
      <c r="A33" s="21">
        <v>5.0</v>
      </c>
      <c r="B33" s="22"/>
      <c r="C33" s="22"/>
      <c r="D33" s="23" t="s">
        <v>94</v>
      </c>
      <c r="E33" s="23" t="s">
        <v>100</v>
      </c>
      <c r="F33" s="43"/>
      <c r="G33" s="26"/>
      <c r="H33" s="26"/>
      <c r="I33" s="26"/>
      <c r="J33" s="26"/>
      <c r="K33" s="26"/>
      <c r="L33" s="26"/>
      <c r="M33" s="21" t="str">
        <f t="shared" si="1"/>
        <v/>
      </c>
      <c r="N33" s="27" t="str">
        <f t="shared" si="2"/>
        <v/>
      </c>
      <c r="O33" s="27" t="str">
        <f t="shared" si="3"/>
        <v/>
      </c>
      <c r="P33" s="21" t="str">
        <f t="shared" si="4"/>
        <v>Da giocare</v>
      </c>
      <c r="Q33" s="1">
        <f t="shared" si="5"/>
        <v>0</v>
      </c>
      <c r="R33" s="1">
        <f t="shared" si="6"/>
        <v>0</v>
      </c>
      <c r="S33" s="1">
        <f t="shared" si="7"/>
        <v>0</v>
      </c>
      <c r="T33" s="1">
        <f t="shared" si="8"/>
        <v>0</v>
      </c>
      <c r="U33" s="1">
        <f t="shared" si="9"/>
        <v>0</v>
      </c>
      <c r="V33" s="1">
        <f t="shared" si="10"/>
        <v>0</v>
      </c>
      <c r="W33" s="1">
        <f t="shared" si="11"/>
        <v>0</v>
      </c>
      <c r="X33" s="1">
        <f t="shared" si="12"/>
        <v>0</v>
      </c>
      <c r="Y33" s="1">
        <f t="shared" si="13"/>
        <v>0</v>
      </c>
      <c r="Z33" s="1">
        <f t="shared" si="14"/>
        <v>0</v>
      </c>
      <c r="AA33" s="1" t="s">
        <v>161</v>
      </c>
      <c r="AB33" s="1">
        <f t="shared" si="15"/>
        <v>0</v>
      </c>
      <c r="AC33" s="1">
        <f t="shared" si="16"/>
        <v>0</v>
      </c>
    </row>
    <row r="34" ht="24.0" customHeight="1">
      <c r="A34" s="21">
        <v>5.0</v>
      </c>
      <c r="B34" s="22"/>
      <c r="C34" s="22"/>
      <c r="D34" s="23" t="s">
        <v>91</v>
      </c>
      <c r="E34" s="23" t="s">
        <v>99</v>
      </c>
      <c r="F34" s="43"/>
      <c r="G34" s="26"/>
      <c r="H34" s="26"/>
      <c r="I34" s="26"/>
      <c r="J34" s="26"/>
      <c r="K34" s="26"/>
      <c r="L34" s="26"/>
      <c r="M34" s="21" t="str">
        <f t="shared" si="1"/>
        <v/>
      </c>
      <c r="N34" s="27" t="str">
        <f t="shared" si="2"/>
        <v/>
      </c>
      <c r="O34" s="27" t="str">
        <f t="shared" si="3"/>
        <v/>
      </c>
      <c r="P34" s="21" t="str">
        <f t="shared" si="4"/>
        <v>Da giocare</v>
      </c>
      <c r="Q34" s="1">
        <f t="shared" si="5"/>
        <v>0</v>
      </c>
      <c r="R34" s="1">
        <f t="shared" si="6"/>
        <v>0</v>
      </c>
      <c r="S34" s="1">
        <f t="shared" si="7"/>
        <v>0</v>
      </c>
      <c r="T34" s="1">
        <f t="shared" si="8"/>
        <v>0</v>
      </c>
      <c r="U34" s="1">
        <f t="shared" si="9"/>
        <v>0</v>
      </c>
      <c r="V34" s="1">
        <f t="shared" si="10"/>
        <v>0</v>
      </c>
      <c r="W34" s="1">
        <f t="shared" si="11"/>
        <v>0</v>
      </c>
      <c r="X34" s="1">
        <f t="shared" si="12"/>
        <v>0</v>
      </c>
      <c r="Y34" s="1">
        <f t="shared" si="13"/>
        <v>0</v>
      </c>
      <c r="Z34" s="1">
        <f t="shared" si="14"/>
        <v>0</v>
      </c>
      <c r="AA34" s="1" t="s">
        <v>162</v>
      </c>
      <c r="AB34" s="1">
        <f t="shared" si="15"/>
        <v>0</v>
      </c>
      <c r="AC34" s="1">
        <f t="shared" si="16"/>
        <v>0</v>
      </c>
    </row>
    <row r="35" ht="24.0" customHeight="1">
      <c r="A35" s="21">
        <v>5.0</v>
      </c>
      <c r="B35" s="22"/>
      <c r="C35" s="22"/>
      <c r="D35" s="23" t="s">
        <v>88</v>
      </c>
      <c r="E35" s="23" t="s">
        <v>96</v>
      </c>
      <c r="F35" s="43"/>
      <c r="G35" s="26"/>
      <c r="H35" s="26"/>
      <c r="I35" s="26"/>
      <c r="J35" s="26"/>
      <c r="K35" s="26"/>
      <c r="L35" s="26"/>
      <c r="M35" s="21" t="str">
        <f t="shared" si="1"/>
        <v/>
      </c>
      <c r="N35" s="27" t="str">
        <f t="shared" si="2"/>
        <v/>
      </c>
      <c r="O35" s="27" t="str">
        <f t="shared" si="3"/>
        <v/>
      </c>
      <c r="P35" s="21" t="str">
        <f t="shared" si="4"/>
        <v>Da giocare</v>
      </c>
      <c r="Q35" s="1">
        <f t="shared" si="5"/>
        <v>0</v>
      </c>
      <c r="R35" s="1">
        <f t="shared" si="6"/>
        <v>0</v>
      </c>
      <c r="S35" s="1">
        <f t="shared" si="7"/>
        <v>0</v>
      </c>
      <c r="T35" s="1">
        <f t="shared" si="8"/>
        <v>0</v>
      </c>
      <c r="U35" s="1">
        <f t="shared" si="9"/>
        <v>0</v>
      </c>
      <c r="V35" s="1">
        <f t="shared" si="10"/>
        <v>0</v>
      </c>
      <c r="W35" s="1">
        <f t="shared" si="11"/>
        <v>0</v>
      </c>
      <c r="X35" s="1">
        <f t="shared" si="12"/>
        <v>0</v>
      </c>
      <c r="Y35" s="1">
        <f t="shared" si="13"/>
        <v>0</v>
      </c>
      <c r="Z35" s="1">
        <f t="shared" si="14"/>
        <v>0</v>
      </c>
      <c r="AA35" s="1" t="s">
        <v>163</v>
      </c>
      <c r="AB35" s="1">
        <f t="shared" si="15"/>
        <v>0</v>
      </c>
      <c r="AC35" s="1">
        <f t="shared" si="16"/>
        <v>0</v>
      </c>
    </row>
    <row r="36" ht="24.0" customHeight="1">
      <c r="A36" s="21">
        <v>5.0</v>
      </c>
      <c r="B36" s="22"/>
      <c r="C36" s="22"/>
      <c r="D36" s="23" t="s">
        <v>84</v>
      </c>
      <c r="E36" s="23" t="s">
        <v>93</v>
      </c>
      <c r="F36" s="43"/>
      <c r="G36" s="26"/>
      <c r="H36" s="26"/>
      <c r="I36" s="26"/>
      <c r="J36" s="26"/>
      <c r="K36" s="26"/>
      <c r="L36" s="26"/>
      <c r="M36" s="21" t="str">
        <f t="shared" si="1"/>
        <v/>
      </c>
      <c r="N36" s="27" t="str">
        <f t="shared" si="2"/>
        <v/>
      </c>
      <c r="O36" s="27" t="str">
        <f t="shared" si="3"/>
        <v/>
      </c>
      <c r="P36" s="21" t="str">
        <f t="shared" si="4"/>
        <v>Da giocare</v>
      </c>
      <c r="Q36" s="1">
        <f t="shared" si="5"/>
        <v>0</v>
      </c>
      <c r="R36" s="1">
        <f t="shared" si="6"/>
        <v>0</v>
      </c>
      <c r="S36" s="1">
        <f t="shared" si="7"/>
        <v>0</v>
      </c>
      <c r="T36" s="1">
        <f t="shared" si="8"/>
        <v>0</v>
      </c>
      <c r="U36" s="1">
        <f t="shared" si="9"/>
        <v>0</v>
      </c>
      <c r="V36" s="1">
        <f t="shared" si="10"/>
        <v>0</v>
      </c>
      <c r="W36" s="1">
        <f t="shared" si="11"/>
        <v>0</v>
      </c>
      <c r="X36" s="1">
        <f t="shared" si="12"/>
        <v>0</v>
      </c>
      <c r="Y36" s="1">
        <f t="shared" si="13"/>
        <v>0</v>
      </c>
      <c r="Z36" s="1">
        <f t="shared" si="14"/>
        <v>0</v>
      </c>
      <c r="AA36" s="1" t="s">
        <v>164</v>
      </c>
      <c r="AB36" s="1">
        <f t="shared" si="15"/>
        <v>0</v>
      </c>
      <c r="AC36" s="1">
        <f t="shared" si="16"/>
        <v>0</v>
      </c>
    </row>
    <row r="37" ht="24.0" customHeight="1">
      <c r="A37" s="21">
        <v>5.0</v>
      </c>
      <c r="B37" s="22"/>
      <c r="C37" s="22"/>
      <c r="D37" s="23" t="s">
        <v>87</v>
      </c>
      <c r="E37" s="23" t="s">
        <v>90</v>
      </c>
      <c r="F37" s="43"/>
      <c r="G37" s="26"/>
      <c r="H37" s="26"/>
      <c r="I37" s="26"/>
      <c r="J37" s="26"/>
      <c r="K37" s="26"/>
      <c r="L37" s="26"/>
      <c r="M37" s="21" t="str">
        <f t="shared" si="1"/>
        <v/>
      </c>
      <c r="N37" s="27" t="str">
        <f t="shared" si="2"/>
        <v/>
      </c>
      <c r="O37" s="27" t="str">
        <f t="shared" si="3"/>
        <v/>
      </c>
      <c r="P37" s="21" t="str">
        <f t="shared" si="4"/>
        <v>Da giocare</v>
      </c>
      <c r="Q37" s="1">
        <f t="shared" si="5"/>
        <v>0</v>
      </c>
      <c r="R37" s="1">
        <f t="shared" si="6"/>
        <v>0</v>
      </c>
      <c r="S37" s="1">
        <f t="shared" si="7"/>
        <v>0</v>
      </c>
      <c r="T37" s="1">
        <f t="shared" si="8"/>
        <v>0</v>
      </c>
      <c r="U37" s="1">
        <f t="shared" si="9"/>
        <v>0</v>
      </c>
      <c r="V37" s="1">
        <f t="shared" si="10"/>
        <v>0</v>
      </c>
      <c r="W37" s="1">
        <f t="shared" si="11"/>
        <v>0</v>
      </c>
      <c r="X37" s="1">
        <f t="shared" si="12"/>
        <v>0</v>
      </c>
      <c r="Y37" s="1">
        <f t="shared" si="13"/>
        <v>0</v>
      </c>
      <c r="Z37" s="1">
        <f t="shared" si="14"/>
        <v>0</v>
      </c>
      <c r="AA37" s="1" t="s">
        <v>165</v>
      </c>
      <c r="AB37" s="1">
        <f t="shared" si="15"/>
        <v>0</v>
      </c>
      <c r="AC37" s="1">
        <f t="shared" si="16"/>
        <v>0</v>
      </c>
    </row>
    <row r="38" ht="24.0" customHeight="1">
      <c r="A38" s="29">
        <v>6.0</v>
      </c>
      <c r="B38" s="30"/>
      <c r="C38" s="30"/>
      <c r="D38" s="31" t="s">
        <v>57</v>
      </c>
      <c r="E38" s="31" t="s">
        <v>100</v>
      </c>
      <c r="F38" s="32"/>
      <c r="G38" s="17"/>
      <c r="H38" s="17"/>
      <c r="I38" s="17"/>
      <c r="J38" s="17"/>
      <c r="K38" s="17"/>
      <c r="L38" s="17"/>
      <c r="M38" s="29" t="str">
        <f t="shared" si="1"/>
        <v/>
      </c>
      <c r="N38" s="33" t="str">
        <f t="shared" si="2"/>
        <v/>
      </c>
      <c r="O38" s="33" t="str">
        <f t="shared" si="3"/>
        <v/>
      </c>
      <c r="P38" s="29" t="str">
        <f t="shared" si="4"/>
        <v>Da giocare</v>
      </c>
      <c r="Q38" s="3">
        <f t="shared" si="5"/>
        <v>0</v>
      </c>
      <c r="R38" s="3">
        <f t="shared" si="6"/>
        <v>0</v>
      </c>
      <c r="S38" s="3">
        <f t="shared" si="7"/>
        <v>0</v>
      </c>
      <c r="T38" s="3">
        <f t="shared" si="8"/>
        <v>0</v>
      </c>
      <c r="U38" s="3">
        <f t="shared" si="9"/>
        <v>0</v>
      </c>
      <c r="V38" s="3">
        <f t="shared" si="10"/>
        <v>0</v>
      </c>
      <c r="W38" s="3">
        <f t="shared" si="11"/>
        <v>0</v>
      </c>
      <c r="X38" s="3">
        <f t="shared" si="12"/>
        <v>0</v>
      </c>
      <c r="Y38" s="3">
        <f t="shared" si="13"/>
        <v>0</v>
      </c>
      <c r="Z38" s="3">
        <f t="shared" si="14"/>
        <v>0</v>
      </c>
      <c r="AA38" s="3" t="s">
        <v>166</v>
      </c>
      <c r="AB38" s="3">
        <f t="shared" si="15"/>
        <v>0</v>
      </c>
      <c r="AC38" s="3">
        <f t="shared" si="16"/>
        <v>0</v>
      </c>
    </row>
    <row r="39" ht="24.0" customHeight="1">
      <c r="A39" s="34">
        <v>6.0</v>
      </c>
      <c r="B39" s="35"/>
      <c r="C39" s="35"/>
      <c r="D39" s="36" t="s">
        <v>97</v>
      </c>
      <c r="E39" s="36" t="s">
        <v>99</v>
      </c>
      <c r="F39" s="43"/>
      <c r="G39" s="26"/>
      <c r="H39" s="26"/>
      <c r="I39" s="26"/>
      <c r="J39" s="26"/>
      <c r="K39" s="26"/>
      <c r="L39" s="26"/>
      <c r="M39" s="34" t="str">
        <f t="shared" si="1"/>
        <v/>
      </c>
      <c r="N39" s="37" t="str">
        <f t="shared" si="2"/>
        <v/>
      </c>
      <c r="O39" s="37" t="str">
        <f t="shared" si="3"/>
        <v/>
      </c>
      <c r="P39" s="34" t="str">
        <f t="shared" si="4"/>
        <v>Da giocare</v>
      </c>
      <c r="Q39" s="3">
        <f t="shared" si="5"/>
        <v>0</v>
      </c>
      <c r="R39" s="3">
        <f t="shared" si="6"/>
        <v>0</v>
      </c>
      <c r="S39" s="3">
        <f t="shared" si="7"/>
        <v>0</v>
      </c>
      <c r="T39" s="3">
        <f t="shared" si="8"/>
        <v>0</v>
      </c>
      <c r="U39" s="3">
        <f t="shared" si="9"/>
        <v>0</v>
      </c>
      <c r="V39" s="3">
        <f t="shared" si="10"/>
        <v>0</v>
      </c>
      <c r="W39" s="3">
        <f t="shared" si="11"/>
        <v>0</v>
      </c>
      <c r="X39" s="3">
        <f t="shared" si="12"/>
        <v>0</v>
      </c>
      <c r="Y39" s="3">
        <f t="shared" si="13"/>
        <v>0</v>
      </c>
      <c r="Z39" s="3">
        <f t="shared" si="14"/>
        <v>0</v>
      </c>
      <c r="AA39" s="3" t="s">
        <v>167</v>
      </c>
      <c r="AB39" s="3">
        <f t="shared" si="15"/>
        <v>0</v>
      </c>
      <c r="AC39" s="3">
        <f t="shared" si="16"/>
        <v>0</v>
      </c>
    </row>
    <row r="40" ht="24.0" customHeight="1">
      <c r="A40" s="34">
        <v>6.0</v>
      </c>
      <c r="B40" s="35"/>
      <c r="C40" s="35"/>
      <c r="D40" s="36" t="s">
        <v>94</v>
      </c>
      <c r="E40" s="36" t="s">
        <v>96</v>
      </c>
      <c r="F40" s="43"/>
      <c r="G40" s="26"/>
      <c r="H40" s="26"/>
      <c r="I40" s="26"/>
      <c r="J40" s="26"/>
      <c r="K40" s="26"/>
      <c r="L40" s="26"/>
      <c r="M40" s="34" t="str">
        <f t="shared" si="1"/>
        <v/>
      </c>
      <c r="N40" s="37" t="str">
        <f t="shared" si="2"/>
        <v/>
      </c>
      <c r="O40" s="37" t="str">
        <f t="shared" si="3"/>
        <v/>
      </c>
      <c r="P40" s="34" t="str">
        <f t="shared" si="4"/>
        <v>Da giocare</v>
      </c>
      <c r="Q40" s="3">
        <f t="shared" si="5"/>
        <v>0</v>
      </c>
      <c r="R40" s="3">
        <f t="shared" si="6"/>
        <v>0</v>
      </c>
      <c r="S40" s="3">
        <f t="shared" si="7"/>
        <v>0</v>
      </c>
      <c r="T40" s="3">
        <f t="shared" si="8"/>
        <v>0</v>
      </c>
      <c r="U40" s="3">
        <f t="shared" si="9"/>
        <v>0</v>
      </c>
      <c r="V40" s="3">
        <f t="shared" si="10"/>
        <v>0</v>
      </c>
      <c r="W40" s="3">
        <f t="shared" si="11"/>
        <v>0</v>
      </c>
      <c r="X40" s="3">
        <f t="shared" si="12"/>
        <v>0</v>
      </c>
      <c r="Y40" s="3">
        <f t="shared" si="13"/>
        <v>0</v>
      </c>
      <c r="Z40" s="3">
        <f t="shared" si="14"/>
        <v>0</v>
      </c>
      <c r="AA40" s="3" t="s">
        <v>168</v>
      </c>
      <c r="AB40" s="3">
        <f t="shared" si="15"/>
        <v>0</v>
      </c>
      <c r="AC40" s="3">
        <f t="shared" si="16"/>
        <v>0</v>
      </c>
    </row>
    <row r="41" ht="24.0" customHeight="1">
      <c r="A41" s="34">
        <v>6.0</v>
      </c>
      <c r="B41" s="35"/>
      <c r="C41" s="35"/>
      <c r="D41" s="36" t="s">
        <v>91</v>
      </c>
      <c r="E41" s="36" t="s">
        <v>93</v>
      </c>
      <c r="F41" s="43"/>
      <c r="G41" s="26"/>
      <c r="H41" s="26"/>
      <c r="I41" s="26"/>
      <c r="J41" s="26"/>
      <c r="K41" s="26"/>
      <c r="L41" s="26"/>
      <c r="M41" s="34" t="str">
        <f t="shared" si="1"/>
        <v/>
      </c>
      <c r="N41" s="37" t="str">
        <f t="shared" si="2"/>
        <v/>
      </c>
      <c r="O41" s="37" t="str">
        <f t="shared" si="3"/>
        <v/>
      </c>
      <c r="P41" s="34" t="str">
        <f t="shared" si="4"/>
        <v>Da giocare</v>
      </c>
      <c r="Q41" s="3">
        <f t="shared" si="5"/>
        <v>0</v>
      </c>
      <c r="R41" s="3">
        <f t="shared" si="6"/>
        <v>0</v>
      </c>
      <c r="S41" s="3">
        <f t="shared" si="7"/>
        <v>0</v>
      </c>
      <c r="T41" s="3">
        <f t="shared" si="8"/>
        <v>0</v>
      </c>
      <c r="U41" s="3">
        <f t="shared" si="9"/>
        <v>0</v>
      </c>
      <c r="V41" s="3">
        <f t="shared" si="10"/>
        <v>0</v>
      </c>
      <c r="W41" s="3">
        <f t="shared" si="11"/>
        <v>0</v>
      </c>
      <c r="X41" s="3">
        <f t="shared" si="12"/>
        <v>0</v>
      </c>
      <c r="Y41" s="3">
        <f t="shared" si="13"/>
        <v>0</v>
      </c>
      <c r="Z41" s="3">
        <f t="shared" si="14"/>
        <v>0</v>
      </c>
      <c r="AA41" s="3" t="s">
        <v>169</v>
      </c>
      <c r="AB41" s="3">
        <f t="shared" si="15"/>
        <v>0</v>
      </c>
      <c r="AC41" s="3">
        <f t="shared" si="16"/>
        <v>0</v>
      </c>
    </row>
    <row r="42" ht="24.0" customHeight="1">
      <c r="A42" s="34">
        <v>6.0</v>
      </c>
      <c r="B42" s="35"/>
      <c r="C42" s="35"/>
      <c r="D42" s="36" t="s">
        <v>88</v>
      </c>
      <c r="E42" s="36" t="s">
        <v>90</v>
      </c>
      <c r="F42" s="43"/>
      <c r="G42" s="26"/>
      <c r="H42" s="26"/>
      <c r="I42" s="26"/>
      <c r="J42" s="26"/>
      <c r="K42" s="26"/>
      <c r="L42" s="26"/>
      <c r="M42" s="34" t="str">
        <f t="shared" si="1"/>
        <v/>
      </c>
      <c r="N42" s="37" t="str">
        <f t="shared" si="2"/>
        <v/>
      </c>
      <c r="O42" s="37" t="str">
        <f t="shared" si="3"/>
        <v/>
      </c>
      <c r="P42" s="34" t="str">
        <f t="shared" si="4"/>
        <v>Da giocare</v>
      </c>
      <c r="Q42" s="3">
        <f t="shared" si="5"/>
        <v>0</v>
      </c>
      <c r="R42" s="3">
        <f t="shared" si="6"/>
        <v>0</v>
      </c>
      <c r="S42" s="3">
        <f t="shared" si="7"/>
        <v>0</v>
      </c>
      <c r="T42" s="3">
        <f t="shared" si="8"/>
        <v>0</v>
      </c>
      <c r="U42" s="3">
        <f t="shared" si="9"/>
        <v>0</v>
      </c>
      <c r="V42" s="3">
        <f t="shared" si="10"/>
        <v>0</v>
      </c>
      <c r="W42" s="3">
        <f t="shared" si="11"/>
        <v>0</v>
      </c>
      <c r="X42" s="3">
        <f t="shared" si="12"/>
        <v>0</v>
      </c>
      <c r="Y42" s="3">
        <f t="shared" si="13"/>
        <v>0</v>
      </c>
      <c r="Z42" s="3">
        <f t="shared" si="14"/>
        <v>0</v>
      </c>
      <c r="AA42" s="3" t="s">
        <v>170</v>
      </c>
      <c r="AB42" s="3">
        <f t="shared" si="15"/>
        <v>0</v>
      </c>
      <c r="AC42" s="3">
        <f t="shared" si="16"/>
        <v>0</v>
      </c>
    </row>
    <row r="43" ht="24.0" customHeight="1">
      <c r="A43" s="34">
        <v>6.0</v>
      </c>
      <c r="B43" s="35"/>
      <c r="C43" s="35"/>
      <c r="D43" s="36" t="s">
        <v>84</v>
      </c>
      <c r="E43" s="36" t="s">
        <v>87</v>
      </c>
      <c r="F43" s="43"/>
      <c r="G43" s="26"/>
      <c r="H43" s="26"/>
      <c r="I43" s="26"/>
      <c r="J43" s="26"/>
      <c r="K43" s="26"/>
      <c r="L43" s="26"/>
      <c r="M43" s="34" t="str">
        <f t="shared" si="1"/>
        <v/>
      </c>
      <c r="N43" s="37" t="str">
        <f t="shared" si="2"/>
        <v/>
      </c>
      <c r="O43" s="37" t="str">
        <f t="shared" si="3"/>
        <v/>
      </c>
      <c r="P43" s="34" t="str">
        <f t="shared" si="4"/>
        <v>Da giocare</v>
      </c>
      <c r="Q43" s="3">
        <f t="shared" si="5"/>
        <v>0</v>
      </c>
      <c r="R43" s="3">
        <f t="shared" si="6"/>
        <v>0</v>
      </c>
      <c r="S43" s="3">
        <f t="shared" si="7"/>
        <v>0</v>
      </c>
      <c r="T43" s="3">
        <f t="shared" si="8"/>
        <v>0</v>
      </c>
      <c r="U43" s="3">
        <f t="shared" si="9"/>
        <v>0</v>
      </c>
      <c r="V43" s="3">
        <f t="shared" si="10"/>
        <v>0</v>
      </c>
      <c r="W43" s="3">
        <f t="shared" si="11"/>
        <v>0</v>
      </c>
      <c r="X43" s="3">
        <f t="shared" si="12"/>
        <v>0</v>
      </c>
      <c r="Y43" s="3">
        <f t="shared" si="13"/>
        <v>0</v>
      </c>
      <c r="Z43" s="3">
        <f t="shared" si="14"/>
        <v>0</v>
      </c>
      <c r="AA43" s="3" t="s">
        <v>171</v>
      </c>
      <c r="AB43" s="3">
        <f t="shared" si="15"/>
        <v>0</v>
      </c>
      <c r="AC43" s="3">
        <f t="shared" si="16"/>
        <v>0</v>
      </c>
    </row>
    <row r="44" ht="24.0" customHeight="1">
      <c r="A44" s="11">
        <v>7.0</v>
      </c>
      <c r="B44" s="12"/>
      <c r="C44" s="12"/>
      <c r="D44" s="13" t="s">
        <v>57</v>
      </c>
      <c r="E44" s="13" t="s">
        <v>99</v>
      </c>
      <c r="F44" s="32"/>
      <c r="G44" s="17"/>
      <c r="H44" s="17"/>
      <c r="I44" s="17"/>
      <c r="J44" s="17"/>
      <c r="K44" s="17"/>
      <c r="L44" s="17"/>
      <c r="M44" s="11" t="str">
        <f t="shared" si="1"/>
        <v/>
      </c>
      <c r="N44" s="20" t="str">
        <f t="shared" si="2"/>
        <v/>
      </c>
      <c r="O44" s="20" t="str">
        <f t="shared" si="3"/>
        <v/>
      </c>
      <c r="P44" s="11" t="str">
        <f t="shared" si="4"/>
        <v>Da giocare</v>
      </c>
      <c r="Q44" s="1">
        <f t="shared" si="5"/>
        <v>0</v>
      </c>
      <c r="R44" s="1">
        <f t="shared" si="6"/>
        <v>0</v>
      </c>
      <c r="S44" s="1">
        <f t="shared" si="7"/>
        <v>0</v>
      </c>
      <c r="T44" s="1">
        <f t="shared" si="8"/>
        <v>0</v>
      </c>
      <c r="U44" s="1">
        <f t="shared" si="9"/>
        <v>0</v>
      </c>
      <c r="V44" s="1">
        <f t="shared" si="10"/>
        <v>0</v>
      </c>
      <c r="W44" s="1">
        <f t="shared" si="11"/>
        <v>0</v>
      </c>
      <c r="X44" s="1">
        <f t="shared" si="12"/>
        <v>0</v>
      </c>
      <c r="Y44" s="1">
        <f t="shared" si="13"/>
        <v>0</v>
      </c>
      <c r="Z44" s="1">
        <f t="shared" si="14"/>
        <v>0</v>
      </c>
      <c r="AA44" s="1" t="s">
        <v>172</v>
      </c>
      <c r="AB44" s="1">
        <f t="shared" si="15"/>
        <v>0</v>
      </c>
      <c r="AC44" s="1">
        <f t="shared" si="16"/>
        <v>0</v>
      </c>
    </row>
    <row r="45" ht="24.0" customHeight="1">
      <c r="A45" s="21">
        <v>7.0</v>
      </c>
      <c r="B45" s="22"/>
      <c r="C45" s="22"/>
      <c r="D45" s="23" t="s">
        <v>100</v>
      </c>
      <c r="E45" s="23" t="s">
        <v>96</v>
      </c>
      <c r="F45" s="43"/>
      <c r="G45" s="26"/>
      <c r="H45" s="26"/>
      <c r="I45" s="26"/>
      <c r="J45" s="26"/>
      <c r="K45" s="26"/>
      <c r="L45" s="26"/>
      <c r="M45" s="21" t="str">
        <f t="shared" si="1"/>
        <v/>
      </c>
      <c r="N45" s="27" t="str">
        <f t="shared" si="2"/>
        <v/>
      </c>
      <c r="O45" s="27" t="str">
        <f t="shared" si="3"/>
        <v/>
      </c>
      <c r="P45" s="21" t="str">
        <f t="shared" si="4"/>
        <v>Da giocare</v>
      </c>
      <c r="Q45" s="1">
        <f t="shared" si="5"/>
        <v>0</v>
      </c>
      <c r="R45" s="1">
        <f t="shared" si="6"/>
        <v>0</v>
      </c>
      <c r="S45" s="1">
        <f t="shared" si="7"/>
        <v>0</v>
      </c>
      <c r="T45" s="1">
        <f t="shared" si="8"/>
        <v>0</v>
      </c>
      <c r="U45" s="1">
        <f t="shared" si="9"/>
        <v>0</v>
      </c>
      <c r="V45" s="1">
        <f t="shared" si="10"/>
        <v>0</v>
      </c>
      <c r="W45" s="1">
        <f t="shared" si="11"/>
        <v>0</v>
      </c>
      <c r="X45" s="1">
        <f t="shared" si="12"/>
        <v>0</v>
      </c>
      <c r="Y45" s="1">
        <f t="shared" si="13"/>
        <v>0</v>
      </c>
      <c r="Z45" s="1">
        <f t="shared" si="14"/>
        <v>0</v>
      </c>
      <c r="AA45" s="1" t="s">
        <v>173</v>
      </c>
      <c r="AB45" s="1">
        <f t="shared" si="15"/>
        <v>0</v>
      </c>
      <c r="AC45" s="1">
        <f t="shared" si="16"/>
        <v>0</v>
      </c>
    </row>
    <row r="46" ht="24.0" customHeight="1">
      <c r="A46" s="21">
        <v>7.0</v>
      </c>
      <c r="B46" s="22"/>
      <c r="C46" s="22"/>
      <c r="D46" s="23" t="s">
        <v>97</v>
      </c>
      <c r="E46" s="23" t="s">
        <v>93</v>
      </c>
      <c r="F46" s="43"/>
      <c r="G46" s="26"/>
      <c r="H46" s="26"/>
      <c r="I46" s="26"/>
      <c r="J46" s="26"/>
      <c r="K46" s="26"/>
      <c r="L46" s="26"/>
      <c r="M46" s="21" t="str">
        <f t="shared" si="1"/>
        <v/>
      </c>
      <c r="N46" s="27" t="str">
        <f t="shared" si="2"/>
        <v/>
      </c>
      <c r="O46" s="27" t="str">
        <f t="shared" si="3"/>
        <v/>
      </c>
      <c r="P46" s="21" t="str">
        <f t="shared" si="4"/>
        <v>Da giocare</v>
      </c>
      <c r="Q46" s="1">
        <f t="shared" si="5"/>
        <v>0</v>
      </c>
      <c r="R46" s="1">
        <f t="shared" si="6"/>
        <v>0</v>
      </c>
      <c r="S46" s="1">
        <f t="shared" si="7"/>
        <v>0</v>
      </c>
      <c r="T46" s="1">
        <f t="shared" si="8"/>
        <v>0</v>
      </c>
      <c r="U46" s="1">
        <f t="shared" si="9"/>
        <v>0</v>
      </c>
      <c r="V46" s="1">
        <f t="shared" si="10"/>
        <v>0</v>
      </c>
      <c r="W46" s="1">
        <f t="shared" si="11"/>
        <v>0</v>
      </c>
      <c r="X46" s="1">
        <f t="shared" si="12"/>
        <v>0</v>
      </c>
      <c r="Y46" s="1">
        <f t="shared" si="13"/>
        <v>0</v>
      </c>
      <c r="Z46" s="1">
        <f t="shared" si="14"/>
        <v>0</v>
      </c>
      <c r="AA46" s="1" t="s">
        <v>174</v>
      </c>
      <c r="AB46" s="1">
        <f t="shared" si="15"/>
        <v>0</v>
      </c>
      <c r="AC46" s="1">
        <f t="shared" si="16"/>
        <v>0</v>
      </c>
    </row>
    <row r="47" ht="24.0" customHeight="1">
      <c r="A47" s="21">
        <v>7.0</v>
      </c>
      <c r="B47" s="22"/>
      <c r="C47" s="22"/>
      <c r="D47" s="23" t="s">
        <v>94</v>
      </c>
      <c r="E47" s="23" t="s">
        <v>90</v>
      </c>
      <c r="F47" s="43"/>
      <c r="G47" s="26"/>
      <c r="H47" s="26"/>
      <c r="I47" s="26"/>
      <c r="J47" s="26"/>
      <c r="K47" s="26"/>
      <c r="L47" s="26"/>
      <c r="M47" s="21" t="str">
        <f t="shared" si="1"/>
        <v/>
      </c>
      <c r="N47" s="27" t="str">
        <f t="shared" si="2"/>
        <v/>
      </c>
      <c r="O47" s="27" t="str">
        <f t="shared" si="3"/>
        <v/>
      </c>
      <c r="P47" s="21" t="str">
        <f t="shared" si="4"/>
        <v>Da giocare</v>
      </c>
      <c r="Q47" s="1">
        <f t="shared" si="5"/>
        <v>0</v>
      </c>
      <c r="R47" s="1">
        <f t="shared" si="6"/>
        <v>0</v>
      </c>
      <c r="S47" s="1">
        <f t="shared" si="7"/>
        <v>0</v>
      </c>
      <c r="T47" s="1">
        <f t="shared" si="8"/>
        <v>0</v>
      </c>
      <c r="U47" s="1">
        <f t="shared" si="9"/>
        <v>0</v>
      </c>
      <c r="V47" s="1">
        <f t="shared" si="10"/>
        <v>0</v>
      </c>
      <c r="W47" s="1">
        <f t="shared" si="11"/>
        <v>0</v>
      </c>
      <c r="X47" s="1">
        <f t="shared" si="12"/>
        <v>0</v>
      </c>
      <c r="Y47" s="1">
        <f t="shared" si="13"/>
        <v>0</v>
      </c>
      <c r="Z47" s="1">
        <f t="shared" si="14"/>
        <v>0</v>
      </c>
      <c r="AA47" s="1" t="s">
        <v>175</v>
      </c>
      <c r="AB47" s="1">
        <f t="shared" si="15"/>
        <v>0</v>
      </c>
      <c r="AC47" s="1">
        <f t="shared" si="16"/>
        <v>0</v>
      </c>
    </row>
    <row r="48" ht="24.0" customHeight="1">
      <c r="A48" s="21">
        <v>7.0</v>
      </c>
      <c r="B48" s="22"/>
      <c r="C48" s="22"/>
      <c r="D48" s="23" t="s">
        <v>91</v>
      </c>
      <c r="E48" s="23" t="s">
        <v>87</v>
      </c>
      <c r="F48" s="43"/>
      <c r="G48" s="26"/>
      <c r="H48" s="26"/>
      <c r="I48" s="26"/>
      <c r="J48" s="26"/>
      <c r="K48" s="26"/>
      <c r="L48" s="26"/>
      <c r="M48" s="21" t="str">
        <f t="shared" si="1"/>
        <v/>
      </c>
      <c r="N48" s="27" t="str">
        <f t="shared" si="2"/>
        <v/>
      </c>
      <c r="O48" s="27" t="str">
        <f t="shared" si="3"/>
        <v/>
      </c>
      <c r="P48" s="21" t="str">
        <f t="shared" si="4"/>
        <v>Da giocare</v>
      </c>
      <c r="Q48" s="1">
        <f t="shared" si="5"/>
        <v>0</v>
      </c>
      <c r="R48" s="1">
        <f t="shared" si="6"/>
        <v>0</v>
      </c>
      <c r="S48" s="1">
        <f t="shared" si="7"/>
        <v>0</v>
      </c>
      <c r="T48" s="1">
        <f t="shared" si="8"/>
        <v>0</v>
      </c>
      <c r="U48" s="1">
        <f t="shared" si="9"/>
        <v>0</v>
      </c>
      <c r="V48" s="1">
        <f t="shared" si="10"/>
        <v>0</v>
      </c>
      <c r="W48" s="1">
        <f t="shared" si="11"/>
        <v>0</v>
      </c>
      <c r="X48" s="1">
        <f t="shared" si="12"/>
        <v>0</v>
      </c>
      <c r="Y48" s="1">
        <f t="shared" si="13"/>
        <v>0</v>
      </c>
      <c r="Z48" s="1">
        <f t="shared" si="14"/>
        <v>0</v>
      </c>
      <c r="AA48" s="1" t="s">
        <v>176</v>
      </c>
      <c r="AB48" s="1">
        <f t="shared" si="15"/>
        <v>0</v>
      </c>
      <c r="AC48" s="1">
        <f t="shared" si="16"/>
        <v>0</v>
      </c>
    </row>
    <row r="49" ht="24.0" customHeight="1">
      <c r="A49" s="21">
        <v>7.0</v>
      </c>
      <c r="B49" s="22"/>
      <c r="C49" s="22"/>
      <c r="D49" s="23" t="s">
        <v>88</v>
      </c>
      <c r="E49" s="23" t="s">
        <v>84</v>
      </c>
      <c r="F49" s="43"/>
      <c r="G49" s="26"/>
      <c r="H49" s="26"/>
      <c r="I49" s="26"/>
      <c r="J49" s="26"/>
      <c r="K49" s="26"/>
      <c r="L49" s="26"/>
      <c r="M49" s="21" t="str">
        <f t="shared" si="1"/>
        <v/>
      </c>
      <c r="N49" s="27" t="str">
        <f t="shared" si="2"/>
        <v/>
      </c>
      <c r="O49" s="27" t="str">
        <f t="shared" si="3"/>
        <v/>
      </c>
      <c r="P49" s="21" t="str">
        <f t="shared" si="4"/>
        <v>Da giocare</v>
      </c>
      <c r="Q49" s="1">
        <f t="shared" si="5"/>
        <v>0</v>
      </c>
      <c r="R49" s="1">
        <f t="shared" si="6"/>
        <v>0</v>
      </c>
      <c r="S49" s="1">
        <f t="shared" si="7"/>
        <v>0</v>
      </c>
      <c r="T49" s="1">
        <f t="shared" si="8"/>
        <v>0</v>
      </c>
      <c r="U49" s="1">
        <f t="shared" si="9"/>
        <v>0</v>
      </c>
      <c r="V49" s="1">
        <f t="shared" si="10"/>
        <v>0</v>
      </c>
      <c r="W49" s="1">
        <f t="shared" si="11"/>
        <v>0</v>
      </c>
      <c r="X49" s="1">
        <f t="shared" si="12"/>
        <v>0</v>
      </c>
      <c r="Y49" s="1">
        <f t="shared" si="13"/>
        <v>0</v>
      </c>
      <c r="Z49" s="1">
        <f t="shared" si="14"/>
        <v>0</v>
      </c>
      <c r="AA49" s="1" t="s">
        <v>177</v>
      </c>
      <c r="AB49" s="1">
        <f t="shared" si="15"/>
        <v>0</v>
      </c>
      <c r="AC49" s="1">
        <f t="shared" si="16"/>
        <v>0</v>
      </c>
    </row>
    <row r="50" ht="24.0" customHeight="1">
      <c r="A50" s="29">
        <v>8.0</v>
      </c>
      <c r="B50" s="30"/>
      <c r="C50" s="30"/>
      <c r="D50" s="31" t="s">
        <v>57</v>
      </c>
      <c r="E50" s="31" t="s">
        <v>96</v>
      </c>
      <c r="F50" s="32"/>
      <c r="G50" s="17"/>
      <c r="H50" s="17"/>
      <c r="I50" s="17"/>
      <c r="J50" s="17"/>
      <c r="K50" s="17"/>
      <c r="L50" s="17"/>
      <c r="M50" s="29" t="str">
        <f t="shared" si="1"/>
        <v/>
      </c>
      <c r="N50" s="33" t="str">
        <f t="shared" si="2"/>
        <v/>
      </c>
      <c r="O50" s="33" t="str">
        <f t="shared" si="3"/>
        <v/>
      </c>
      <c r="P50" s="29" t="str">
        <f t="shared" si="4"/>
        <v>Da giocare</v>
      </c>
      <c r="Q50" s="3">
        <f t="shared" si="5"/>
        <v>0</v>
      </c>
      <c r="R50" s="3">
        <f t="shared" si="6"/>
        <v>0</v>
      </c>
      <c r="S50" s="3">
        <f t="shared" si="7"/>
        <v>0</v>
      </c>
      <c r="T50" s="3">
        <f t="shared" si="8"/>
        <v>0</v>
      </c>
      <c r="U50" s="3">
        <f t="shared" si="9"/>
        <v>0</v>
      </c>
      <c r="V50" s="3">
        <f t="shared" si="10"/>
        <v>0</v>
      </c>
      <c r="W50" s="3">
        <f t="shared" si="11"/>
        <v>0</v>
      </c>
      <c r="X50" s="3">
        <f t="shared" si="12"/>
        <v>0</v>
      </c>
      <c r="Y50" s="3">
        <f t="shared" si="13"/>
        <v>0</v>
      </c>
      <c r="Z50" s="3">
        <f t="shared" si="14"/>
        <v>0</v>
      </c>
      <c r="AA50" s="3" t="s">
        <v>178</v>
      </c>
      <c r="AB50" s="3">
        <f t="shared" si="15"/>
        <v>0</v>
      </c>
      <c r="AC50" s="3">
        <f t="shared" si="16"/>
        <v>0</v>
      </c>
    </row>
    <row r="51" ht="24.0" customHeight="1">
      <c r="A51" s="34">
        <v>8.0</v>
      </c>
      <c r="B51" s="35"/>
      <c r="C51" s="35"/>
      <c r="D51" s="36" t="s">
        <v>99</v>
      </c>
      <c r="E51" s="36" t="s">
        <v>93</v>
      </c>
      <c r="F51" s="43"/>
      <c r="G51" s="26"/>
      <c r="H51" s="26"/>
      <c r="I51" s="26"/>
      <c r="J51" s="26"/>
      <c r="K51" s="26"/>
      <c r="L51" s="26"/>
      <c r="M51" s="34" t="str">
        <f t="shared" si="1"/>
        <v/>
      </c>
      <c r="N51" s="37" t="str">
        <f t="shared" si="2"/>
        <v/>
      </c>
      <c r="O51" s="37" t="str">
        <f t="shared" si="3"/>
        <v/>
      </c>
      <c r="P51" s="34" t="str">
        <f t="shared" si="4"/>
        <v>Da giocare</v>
      </c>
      <c r="Q51" s="3">
        <f t="shared" si="5"/>
        <v>0</v>
      </c>
      <c r="R51" s="3">
        <f t="shared" si="6"/>
        <v>0</v>
      </c>
      <c r="S51" s="3">
        <f t="shared" si="7"/>
        <v>0</v>
      </c>
      <c r="T51" s="3">
        <f t="shared" si="8"/>
        <v>0</v>
      </c>
      <c r="U51" s="3">
        <f t="shared" si="9"/>
        <v>0</v>
      </c>
      <c r="V51" s="3">
        <f t="shared" si="10"/>
        <v>0</v>
      </c>
      <c r="W51" s="3">
        <f t="shared" si="11"/>
        <v>0</v>
      </c>
      <c r="X51" s="3">
        <f t="shared" si="12"/>
        <v>0</v>
      </c>
      <c r="Y51" s="3">
        <f t="shared" si="13"/>
        <v>0</v>
      </c>
      <c r="Z51" s="3">
        <f t="shared" si="14"/>
        <v>0</v>
      </c>
      <c r="AA51" s="3" t="s">
        <v>179</v>
      </c>
      <c r="AB51" s="3">
        <f t="shared" si="15"/>
        <v>0</v>
      </c>
      <c r="AC51" s="3">
        <f t="shared" si="16"/>
        <v>0</v>
      </c>
    </row>
    <row r="52" ht="24.0" customHeight="1">
      <c r="A52" s="34">
        <v>8.0</v>
      </c>
      <c r="B52" s="35"/>
      <c r="C52" s="35"/>
      <c r="D52" s="36" t="s">
        <v>100</v>
      </c>
      <c r="E52" s="36" t="s">
        <v>90</v>
      </c>
      <c r="F52" s="43"/>
      <c r="G52" s="26"/>
      <c r="H52" s="26"/>
      <c r="I52" s="26"/>
      <c r="J52" s="26"/>
      <c r="K52" s="26"/>
      <c r="L52" s="26"/>
      <c r="M52" s="34" t="str">
        <f t="shared" si="1"/>
        <v/>
      </c>
      <c r="N52" s="37" t="str">
        <f t="shared" si="2"/>
        <v/>
      </c>
      <c r="O52" s="37" t="str">
        <f t="shared" si="3"/>
        <v/>
      </c>
      <c r="P52" s="34" t="str">
        <f t="shared" si="4"/>
        <v>Da giocare</v>
      </c>
      <c r="Q52" s="3">
        <f t="shared" si="5"/>
        <v>0</v>
      </c>
      <c r="R52" s="3">
        <f t="shared" si="6"/>
        <v>0</v>
      </c>
      <c r="S52" s="3">
        <f t="shared" si="7"/>
        <v>0</v>
      </c>
      <c r="T52" s="3">
        <f t="shared" si="8"/>
        <v>0</v>
      </c>
      <c r="U52" s="3">
        <f t="shared" si="9"/>
        <v>0</v>
      </c>
      <c r="V52" s="3">
        <f t="shared" si="10"/>
        <v>0</v>
      </c>
      <c r="W52" s="3">
        <f t="shared" si="11"/>
        <v>0</v>
      </c>
      <c r="X52" s="3">
        <f t="shared" si="12"/>
        <v>0</v>
      </c>
      <c r="Y52" s="3">
        <f t="shared" si="13"/>
        <v>0</v>
      </c>
      <c r="Z52" s="3">
        <f t="shared" si="14"/>
        <v>0</v>
      </c>
      <c r="AA52" s="3" t="s">
        <v>180</v>
      </c>
      <c r="AB52" s="3">
        <f t="shared" si="15"/>
        <v>0</v>
      </c>
      <c r="AC52" s="3">
        <f t="shared" si="16"/>
        <v>0</v>
      </c>
    </row>
    <row r="53" ht="24.0" customHeight="1">
      <c r="A53" s="34">
        <v>8.0</v>
      </c>
      <c r="B53" s="35"/>
      <c r="C53" s="35"/>
      <c r="D53" s="36" t="s">
        <v>97</v>
      </c>
      <c r="E53" s="36" t="s">
        <v>87</v>
      </c>
      <c r="F53" s="43"/>
      <c r="G53" s="26"/>
      <c r="H53" s="26"/>
      <c r="I53" s="26"/>
      <c r="J53" s="26"/>
      <c r="K53" s="26"/>
      <c r="L53" s="26"/>
      <c r="M53" s="34" t="str">
        <f t="shared" si="1"/>
        <v/>
      </c>
      <c r="N53" s="37" t="str">
        <f t="shared" si="2"/>
        <v/>
      </c>
      <c r="O53" s="37" t="str">
        <f t="shared" si="3"/>
        <v/>
      </c>
      <c r="P53" s="34" t="str">
        <f t="shared" si="4"/>
        <v>Da giocare</v>
      </c>
      <c r="Q53" s="3">
        <f t="shared" si="5"/>
        <v>0</v>
      </c>
      <c r="R53" s="3">
        <f t="shared" si="6"/>
        <v>0</v>
      </c>
      <c r="S53" s="3">
        <f t="shared" si="7"/>
        <v>0</v>
      </c>
      <c r="T53" s="3">
        <f t="shared" si="8"/>
        <v>0</v>
      </c>
      <c r="U53" s="3">
        <f t="shared" si="9"/>
        <v>0</v>
      </c>
      <c r="V53" s="3">
        <f t="shared" si="10"/>
        <v>0</v>
      </c>
      <c r="W53" s="3">
        <f t="shared" si="11"/>
        <v>0</v>
      </c>
      <c r="X53" s="3">
        <f t="shared" si="12"/>
        <v>0</v>
      </c>
      <c r="Y53" s="3">
        <f t="shared" si="13"/>
        <v>0</v>
      </c>
      <c r="Z53" s="3">
        <f t="shared" si="14"/>
        <v>0</v>
      </c>
      <c r="AA53" s="3" t="s">
        <v>181</v>
      </c>
      <c r="AB53" s="3">
        <f t="shared" si="15"/>
        <v>0</v>
      </c>
      <c r="AC53" s="3">
        <f t="shared" si="16"/>
        <v>0</v>
      </c>
    </row>
    <row r="54" ht="24.0" customHeight="1">
      <c r="A54" s="34">
        <v>8.0</v>
      </c>
      <c r="B54" s="35"/>
      <c r="C54" s="35"/>
      <c r="D54" s="36" t="s">
        <v>94</v>
      </c>
      <c r="E54" s="36" t="s">
        <v>84</v>
      </c>
      <c r="F54" s="43"/>
      <c r="G54" s="26"/>
      <c r="H54" s="26"/>
      <c r="I54" s="26"/>
      <c r="J54" s="26"/>
      <c r="K54" s="26"/>
      <c r="L54" s="26"/>
      <c r="M54" s="34" t="str">
        <f t="shared" si="1"/>
        <v/>
      </c>
      <c r="N54" s="37" t="str">
        <f t="shared" si="2"/>
        <v/>
      </c>
      <c r="O54" s="37" t="str">
        <f t="shared" si="3"/>
        <v/>
      </c>
      <c r="P54" s="34" t="str">
        <f t="shared" si="4"/>
        <v>Da giocare</v>
      </c>
      <c r="Q54" s="3">
        <f t="shared" si="5"/>
        <v>0</v>
      </c>
      <c r="R54" s="3">
        <f t="shared" si="6"/>
        <v>0</v>
      </c>
      <c r="S54" s="3">
        <f t="shared" si="7"/>
        <v>0</v>
      </c>
      <c r="T54" s="3">
        <f t="shared" si="8"/>
        <v>0</v>
      </c>
      <c r="U54" s="3">
        <f t="shared" si="9"/>
        <v>0</v>
      </c>
      <c r="V54" s="3">
        <f t="shared" si="10"/>
        <v>0</v>
      </c>
      <c r="W54" s="3">
        <f t="shared" si="11"/>
        <v>0</v>
      </c>
      <c r="X54" s="3">
        <f t="shared" si="12"/>
        <v>0</v>
      </c>
      <c r="Y54" s="3">
        <f t="shared" si="13"/>
        <v>0</v>
      </c>
      <c r="Z54" s="3">
        <f t="shared" si="14"/>
        <v>0</v>
      </c>
      <c r="AA54" s="3" t="s">
        <v>182</v>
      </c>
      <c r="AB54" s="3">
        <f t="shared" si="15"/>
        <v>0</v>
      </c>
      <c r="AC54" s="3">
        <f t="shared" si="16"/>
        <v>0</v>
      </c>
    </row>
    <row r="55" ht="24.0" customHeight="1">
      <c r="A55" s="34">
        <v>8.0</v>
      </c>
      <c r="B55" s="35"/>
      <c r="C55" s="35"/>
      <c r="D55" s="36" t="s">
        <v>91</v>
      </c>
      <c r="E55" s="36" t="s">
        <v>88</v>
      </c>
      <c r="F55" s="43"/>
      <c r="G55" s="26"/>
      <c r="H55" s="26"/>
      <c r="I55" s="26"/>
      <c r="J55" s="26"/>
      <c r="K55" s="26"/>
      <c r="L55" s="26"/>
      <c r="M55" s="34" t="str">
        <f t="shared" si="1"/>
        <v/>
      </c>
      <c r="N55" s="37" t="str">
        <f t="shared" si="2"/>
        <v/>
      </c>
      <c r="O55" s="37" t="str">
        <f t="shared" si="3"/>
        <v/>
      </c>
      <c r="P55" s="34" t="str">
        <f t="shared" si="4"/>
        <v>Da giocare</v>
      </c>
      <c r="Q55" s="3">
        <f t="shared" si="5"/>
        <v>0</v>
      </c>
      <c r="R55" s="3">
        <f t="shared" si="6"/>
        <v>0</v>
      </c>
      <c r="S55" s="3">
        <f t="shared" si="7"/>
        <v>0</v>
      </c>
      <c r="T55" s="3">
        <f t="shared" si="8"/>
        <v>0</v>
      </c>
      <c r="U55" s="3">
        <f t="shared" si="9"/>
        <v>0</v>
      </c>
      <c r="V55" s="3">
        <f t="shared" si="10"/>
        <v>0</v>
      </c>
      <c r="W55" s="3">
        <f t="shared" si="11"/>
        <v>0</v>
      </c>
      <c r="X55" s="3">
        <f t="shared" si="12"/>
        <v>0</v>
      </c>
      <c r="Y55" s="3">
        <f t="shared" si="13"/>
        <v>0</v>
      </c>
      <c r="Z55" s="3">
        <f t="shared" si="14"/>
        <v>0</v>
      </c>
      <c r="AA55" s="3" t="s">
        <v>183</v>
      </c>
      <c r="AB55" s="3">
        <f t="shared" si="15"/>
        <v>0</v>
      </c>
      <c r="AC55" s="3">
        <f t="shared" si="16"/>
        <v>0</v>
      </c>
    </row>
    <row r="56" ht="24.0" customHeight="1">
      <c r="A56" s="11">
        <v>9.0</v>
      </c>
      <c r="B56" s="12"/>
      <c r="C56" s="12"/>
      <c r="D56" s="13" t="s">
        <v>57</v>
      </c>
      <c r="E56" s="13" t="s">
        <v>93</v>
      </c>
      <c r="F56" s="32"/>
      <c r="G56" s="17"/>
      <c r="H56" s="17"/>
      <c r="I56" s="17"/>
      <c r="J56" s="17"/>
      <c r="K56" s="17"/>
      <c r="L56" s="17"/>
      <c r="M56" s="11" t="str">
        <f t="shared" si="1"/>
        <v/>
      </c>
      <c r="N56" s="20" t="str">
        <f t="shared" si="2"/>
        <v/>
      </c>
      <c r="O56" s="20" t="str">
        <f t="shared" si="3"/>
        <v/>
      </c>
      <c r="P56" s="11" t="str">
        <f t="shared" si="4"/>
        <v>Da giocare</v>
      </c>
      <c r="Q56" s="1">
        <f t="shared" si="5"/>
        <v>0</v>
      </c>
      <c r="R56" s="1">
        <f t="shared" si="6"/>
        <v>0</v>
      </c>
      <c r="S56" s="1">
        <f t="shared" si="7"/>
        <v>0</v>
      </c>
      <c r="T56" s="1">
        <f t="shared" si="8"/>
        <v>0</v>
      </c>
      <c r="U56" s="1">
        <f t="shared" si="9"/>
        <v>0</v>
      </c>
      <c r="V56" s="1">
        <f t="shared" si="10"/>
        <v>0</v>
      </c>
      <c r="W56" s="1">
        <f t="shared" si="11"/>
        <v>0</v>
      </c>
      <c r="X56" s="1">
        <f t="shared" si="12"/>
        <v>0</v>
      </c>
      <c r="Y56" s="1">
        <f t="shared" si="13"/>
        <v>0</v>
      </c>
      <c r="Z56" s="1">
        <f t="shared" si="14"/>
        <v>0</v>
      </c>
      <c r="AA56" s="1" t="s">
        <v>184</v>
      </c>
      <c r="AB56" s="1">
        <f t="shared" si="15"/>
        <v>0</v>
      </c>
      <c r="AC56" s="1">
        <f t="shared" si="16"/>
        <v>0</v>
      </c>
    </row>
    <row r="57" ht="24.0" customHeight="1">
      <c r="A57" s="21">
        <v>9.0</v>
      </c>
      <c r="B57" s="22"/>
      <c r="C57" s="22"/>
      <c r="D57" s="23" t="s">
        <v>96</v>
      </c>
      <c r="E57" s="23" t="s">
        <v>90</v>
      </c>
      <c r="F57" s="43"/>
      <c r="G57" s="26"/>
      <c r="H57" s="26"/>
      <c r="I57" s="26"/>
      <c r="J57" s="26"/>
      <c r="K57" s="26"/>
      <c r="L57" s="26"/>
      <c r="M57" s="21" t="str">
        <f t="shared" si="1"/>
        <v/>
      </c>
      <c r="N57" s="27" t="str">
        <f t="shared" si="2"/>
        <v/>
      </c>
      <c r="O57" s="27" t="str">
        <f t="shared" si="3"/>
        <v/>
      </c>
      <c r="P57" s="21" t="str">
        <f t="shared" si="4"/>
        <v>Da giocare</v>
      </c>
      <c r="Q57" s="1">
        <f t="shared" si="5"/>
        <v>0</v>
      </c>
      <c r="R57" s="1">
        <f t="shared" si="6"/>
        <v>0</v>
      </c>
      <c r="S57" s="1">
        <f t="shared" si="7"/>
        <v>0</v>
      </c>
      <c r="T57" s="1">
        <f t="shared" si="8"/>
        <v>0</v>
      </c>
      <c r="U57" s="1">
        <f t="shared" si="9"/>
        <v>0</v>
      </c>
      <c r="V57" s="1">
        <f t="shared" si="10"/>
        <v>0</v>
      </c>
      <c r="W57" s="1">
        <f t="shared" si="11"/>
        <v>0</v>
      </c>
      <c r="X57" s="1">
        <f t="shared" si="12"/>
        <v>0</v>
      </c>
      <c r="Y57" s="1">
        <f t="shared" si="13"/>
        <v>0</v>
      </c>
      <c r="Z57" s="1">
        <f t="shared" si="14"/>
        <v>0</v>
      </c>
      <c r="AA57" s="1" t="s">
        <v>185</v>
      </c>
      <c r="AB57" s="1">
        <f t="shared" si="15"/>
        <v>0</v>
      </c>
      <c r="AC57" s="1">
        <f t="shared" si="16"/>
        <v>0</v>
      </c>
    </row>
    <row r="58" ht="24.0" customHeight="1">
      <c r="A58" s="21">
        <v>9.0</v>
      </c>
      <c r="B58" s="22"/>
      <c r="C58" s="22"/>
      <c r="D58" s="23" t="s">
        <v>99</v>
      </c>
      <c r="E58" s="23" t="s">
        <v>87</v>
      </c>
      <c r="F58" s="43"/>
      <c r="G58" s="26"/>
      <c r="H58" s="26"/>
      <c r="I58" s="26"/>
      <c r="J58" s="26"/>
      <c r="K58" s="26"/>
      <c r="L58" s="26"/>
      <c r="M58" s="21" t="str">
        <f t="shared" si="1"/>
        <v/>
      </c>
      <c r="N58" s="27" t="str">
        <f t="shared" si="2"/>
        <v/>
      </c>
      <c r="O58" s="27" t="str">
        <f t="shared" si="3"/>
        <v/>
      </c>
      <c r="P58" s="21" t="str">
        <f t="shared" si="4"/>
        <v>Da giocare</v>
      </c>
      <c r="Q58" s="1">
        <f t="shared" si="5"/>
        <v>0</v>
      </c>
      <c r="R58" s="1">
        <f t="shared" si="6"/>
        <v>0</v>
      </c>
      <c r="S58" s="1">
        <f t="shared" si="7"/>
        <v>0</v>
      </c>
      <c r="T58" s="1">
        <f t="shared" si="8"/>
        <v>0</v>
      </c>
      <c r="U58" s="1">
        <f t="shared" si="9"/>
        <v>0</v>
      </c>
      <c r="V58" s="1">
        <f t="shared" si="10"/>
        <v>0</v>
      </c>
      <c r="W58" s="1">
        <f t="shared" si="11"/>
        <v>0</v>
      </c>
      <c r="X58" s="1">
        <f t="shared" si="12"/>
        <v>0</v>
      </c>
      <c r="Y58" s="1">
        <f t="shared" si="13"/>
        <v>0</v>
      </c>
      <c r="Z58" s="1">
        <f t="shared" si="14"/>
        <v>0</v>
      </c>
      <c r="AA58" s="1" t="s">
        <v>186</v>
      </c>
      <c r="AB58" s="1">
        <f t="shared" si="15"/>
        <v>0</v>
      </c>
      <c r="AC58" s="1">
        <f t="shared" si="16"/>
        <v>0</v>
      </c>
    </row>
    <row r="59" ht="24.0" customHeight="1">
      <c r="A59" s="21">
        <v>9.0</v>
      </c>
      <c r="B59" s="22"/>
      <c r="C59" s="22"/>
      <c r="D59" s="23" t="s">
        <v>100</v>
      </c>
      <c r="E59" s="23" t="s">
        <v>84</v>
      </c>
      <c r="F59" s="43"/>
      <c r="G59" s="26"/>
      <c r="H59" s="26"/>
      <c r="I59" s="26"/>
      <c r="J59" s="26"/>
      <c r="K59" s="26"/>
      <c r="L59" s="26"/>
      <c r="M59" s="21" t="str">
        <f t="shared" si="1"/>
        <v/>
      </c>
      <c r="N59" s="27" t="str">
        <f t="shared" si="2"/>
        <v/>
      </c>
      <c r="O59" s="27" t="str">
        <f t="shared" si="3"/>
        <v/>
      </c>
      <c r="P59" s="21" t="str">
        <f t="shared" si="4"/>
        <v>Da giocare</v>
      </c>
      <c r="Q59" s="1">
        <f t="shared" si="5"/>
        <v>0</v>
      </c>
      <c r="R59" s="1">
        <f t="shared" si="6"/>
        <v>0</v>
      </c>
      <c r="S59" s="1">
        <f t="shared" si="7"/>
        <v>0</v>
      </c>
      <c r="T59" s="1">
        <f t="shared" si="8"/>
        <v>0</v>
      </c>
      <c r="U59" s="1">
        <f t="shared" si="9"/>
        <v>0</v>
      </c>
      <c r="V59" s="1">
        <f t="shared" si="10"/>
        <v>0</v>
      </c>
      <c r="W59" s="1">
        <f t="shared" si="11"/>
        <v>0</v>
      </c>
      <c r="X59" s="1">
        <f t="shared" si="12"/>
        <v>0</v>
      </c>
      <c r="Y59" s="1">
        <f t="shared" si="13"/>
        <v>0</v>
      </c>
      <c r="Z59" s="1">
        <f t="shared" si="14"/>
        <v>0</v>
      </c>
      <c r="AA59" s="1" t="s">
        <v>187</v>
      </c>
      <c r="AB59" s="1">
        <f t="shared" si="15"/>
        <v>0</v>
      </c>
      <c r="AC59" s="1">
        <f t="shared" si="16"/>
        <v>0</v>
      </c>
    </row>
    <row r="60" ht="24.0" customHeight="1">
      <c r="A60" s="21">
        <v>9.0</v>
      </c>
      <c r="B60" s="22"/>
      <c r="C60" s="22"/>
      <c r="D60" s="23" t="s">
        <v>97</v>
      </c>
      <c r="E60" s="23" t="s">
        <v>88</v>
      </c>
      <c r="F60" s="43"/>
      <c r="G60" s="26"/>
      <c r="H60" s="26"/>
      <c r="I60" s="26"/>
      <c r="J60" s="26"/>
      <c r="K60" s="26"/>
      <c r="L60" s="26"/>
      <c r="M60" s="21" t="str">
        <f t="shared" si="1"/>
        <v/>
      </c>
      <c r="N60" s="27" t="str">
        <f t="shared" si="2"/>
        <v/>
      </c>
      <c r="O60" s="27" t="str">
        <f t="shared" si="3"/>
        <v/>
      </c>
      <c r="P60" s="21" t="str">
        <f t="shared" si="4"/>
        <v>Da giocare</v>
      </c>
      <c r="Q60" s="1">
        <f t="shared" si="5"/>
        <v>0</v>
      </c>
      <c r="R60" s="1">
        <f t="shared" si="6"/>
        <v>0</v>
      </c>
      <c r="S60" s="1">
        <f t="shared" si="7"/>
        <v>0</v>
      </c>
      <c r="T60" s="1">
        <f t="shared" si="8"/>
        <v>0</v>
      </c>
      <c r="U60" s="1">
        <f t="shared" si="9"/>
        <v>0</v>
      </c>
      <c r="V60" s="1">
        <f t="shared" si="10"/>
        <v>0</v>
      </c>
      <c r="W60" s="1">
        <f t="shared" si="11"/>
        <v>0</v>
      </c>
      <c r="X60" s="1">
        <f t="shared" si="12"/>
        <v>0</v>
      </c>
      <c r="Y60" s="1">
        <f t="shared" si="13"/>
        <v>0</v>
      </c>
      <c r="Z60" s="1">
        <f t="shared" si="14"/>
        <v>0</v>
      </c>
      <c r="AA60" s="1" t="s">
        <v>188</v>
      </c>
      <c r="AB60" s="1">
        <f t="shared" si="15"/>
        <v>0</v>
      </c>
      <c r="AC60" s="1">
        <f t="shared" si="16"/>
        <v>0</v>
      </c>
    </row>
    <row r="61" ht="24.0" customHeight="1">
      <c r="A61" s="21">
        <v>9.0</v>
      </c>
      <c r="B61" s="22"/>
      <c r="C61" s="22"/>
      <c r="D61" s="23" t="s">
        <v>94</v>
      </c>
      <c r="E61" s="23" t="s">
        <v>91</v>
      </c>
      <c r="F61" s="43"/>
      <c r="G61" s="26"/>
      <c r="H61" s="26"/>
      <c r="I61" s="26"/>
      <c r="J61" s="26"/>
      <c r="K61" s="26"/>
      <c r="L61" s="26"/>
      <c r="M61" s="21" t="str">
        <f t="shared" si="1"/>
        <v/>
      </c>
      <c r="N61" s="27" t="str">
        <f t="shared" si="2"/>
        <v/>
      </c>
      <c r="O61" s="27" t="str">
        <f t="shared" si="3"/>
        <v/>
      </c>
      <c r="P61" s="21" t="str">
        <f t="shared" si="4"/>
        <v>Da giocare</v>
      </c>
      <c r="Q61" s="1">
        <f t="shared" si="5"/>
        <v>0</v>
      </c>
      <c r="R61" s="1">
        <f t="shared" si="6"/>
        <v>0</v>
      </c>
      <c r="S61" s="1">
        <f t="shared" si="7"/>
        <v>0</v>
      </c>
      <c r="T61" s="1">
        <f t="shared" si="8"/>
        <v>0</v>
      </c>
      <c r="U61" s="1">
        <f t="shared" si="9"/>
        <v>0</v>
      </c>
      <c r="V61" s="1">
        <f t="shared" si="10"/>
        <v>0</v>
      </c>
      <c r="W61" s="1">
        <f t="shared" si="11"/>
        <v>0</v>
      </c>
      <c r="X61" s="1">
        <f t="shared" si="12"/>
        <v>0</v>
      </c>
      <c r="Y61" s="1">
        <f t="shared" si="13"/>
        <v>0</v>
      </c>
      <c r="Z61" s="1">
        <f t="shared" si="14"/>
        <v>0</v>
      </c>
      <c r="AA61" s="1" t="s">
        <v>189</v>
      </c>
      <c r="AB61" s="1">
        <f t="shared" si="15"/>
        <v>0</v>
      </c>
      <c r="AC61" s="1">
        <f t="shared" si="16"/>
        <v>0</v>
      </c>
    </row>
    <row r="62" ht="24.0" customHeight="1">
      <c r="A62" s="29">
        <v>10.0</v>
      </c>
      <c r="B62" s="30"/>
      <c r="C62" s="30"/>
      <c r="D62" s="31" t="s">
        <v>57</v>
      </c>
      <c r="E62" s="31" t="s">
        <v>90</v>
      </c>
      <c r="F62" s="32"/>
      <c r="G62" s="17"/>
      <c r="H62" s="17"/>
      <c r="I62" s="17"/>
      <c r="J62" s="17"/>
      <c r="K62" s="17"/>
      <c r="L62" s="17"/>
      <c r="M62" s="29" t="str">
        <f t="shared" si="1"/>
        <v/>
      </c>
      <c r="N62" s="33" t="str">
        <f t="shared" si="2"/>
        <v/>
      </c>
      <c r="O62" s="33" t="str">
        <f t="shared" si="3"/>
        <v/>
      </c>
      <c r="P62" s="29" t="str">
        <f t="shared" si="4"/>
        <v>Da giocare</v>
      </c>
      <c r="Q62" s="3">
        <f t="shared" si="5"/>
        <v>0</v>
      </c>
      <c r="R62" s="3">
        <f t="shared" si="6"/>
        <v>0</v>
      </c>
      <c r="S62" s="3">
        <f t="shared" si="7"/>
        <v>0</v>
      </c>
      <c r="T62" s="3">
        <f t="shared" si="8"/>
        <v>0</v>
      </c>
      <c r="U62" s="3">
        <f t="shared" si="9"/>
        <v>0</v>
      </c>
      <c r="V62" s="3">
        <f t="shared" si="10"/>
        <v>0</v>
      </c>
      <c r="W62" s="3">
        <f t="shared" si="11"/>
        <v>0</v>
      </c>
      <c r="X62" s="3">
        <f t="shared" si="12"/>
        <v>0</v>
      </c>
      <c r="Y62" s="3">
        <f t="shared" si="13"/>
        <v>0</v>
      </c>
      <c r="Z62" s="3">
        <f t="shared" si="14"/>
        <v>0</v>
      </c>
      <c r="AA62" s="3" t="s">
        <v>190</v>
      </c>
      <c r="AB62" s="3">
        <f t="shared" si="15"/>
        <v>0</v>
      </c>
      <c r="AC62" s="3">
        <f t="shared" si="16"/>
        <v>0</v>
      </c>
    </row>
    <row r="63" ht="24.0" customHeight="1">
      <c r="A63" s="34">
        <v>10.0</v>
      </c>
      <c r="B63" s="35"/>
      <c r="C63" s="35"/>
      <c r="D63" s="36" t="s">
        <v>93</v>
      </c>
      <c r="E63" s="36" t="s">
        <v>87</v>
      </c>
      <c r="F63" s="43"/>
      <c r="G63" s="26"/>
      <c r="H63" s="26"/>
      <c r="I63" s="26"/>
      <c r="J63" s="26"/>
      <c r="K63" s="26"/>
      <c r="L63" s="26"/>
      <c r="M63" s="34" t="str">
        <f t="shared" si="1"/>
        <v/>
      </c>
      <c r="N63" s="37" t="str">
        <f t="shared" si="2"/>
        <v/>
      </c>
      <c r="O63" s="37" t="str">
        <f t="shared" si="3"/>
        <v/>
      </c>
      <c r="P63" s="34" t="str">
        <f t="shared" si="4"/>
        <v>Da giocare</v>
      </c>
      <c r="Q63" s="3">
        <f t="shared" si="5"/>
        <v>0</v>
      </c>
      <c r="R63" s="3">
        <f t="shared" si="6"/>
        <v>0</v>
      </c>
      <c r="S63" s="3">
        <f t="shared" si="7"/>
        <v>0</v>
      </c>
      <c r="T63" s="3">
        <f t="shared" si="8"/>
        <v>0</v>
      </c>
      <c r="U63" s="3">
        <f t="shared" si="9"/>
        <v>0</v>
      </c>
      <c r="V63" s="3">
        <f t="shared" si="10"/>
        <v>0</v>
      </c>
      <c r="W63" s="3">
        <f t="shared" si="11"/>
        <v>0</v>
      </c>
      <c r="X63" s="3">
        <f t="shared" si="12"/>
        <v>0</v>
      </c>
      <c r="Y63" s="3">
        <f t="shared" si="13"/>
        <v>0</v>
      </c>
      <c r="Z63" s="3">
        <f t="shared" si="14"/>
        <v>0</v>
      </c>
      <c r="AA63" s="3" t="s">
        <v>191</v>
      </c>
      <c r="AB63" s="3">
        <f t="shared" si="15"/>
        <v>0</v>
      </c>
      <c r="AC63" s="3">
        <f t="shared" si="16"/>
        <v>0</v>
      </c>
    </row>
    <row r="64" ht="24.0" customHeight="1">
      <c r="A64" s="34">
        <v>10.0</v>
      </c>
      <c r="B64" s="35"/>
      <c r="C64" s="35"/>
      <c r="D64" s="36" t="s">
        <v>96</v>
      </c>
      <c r="E64" s="36" t="s">
        <v>84</v>
      </c>
      <c r="F64" s="43"/>
      <c r="G64" s="26"/>
      <c r="H64" s="26"/>
      <c r="I64" s="26"/>
      <c r="J64" s="26"/>
      <c r="K64" s="26"/>
      <c r="L64" s="26"/>
      <c r="M64" s="34" t="str">
        <f t="shared" si="1"/>
        <v/>
      </c>
      <c r="N64" s="37" t="str">
        <f t="shared" si="2"/>
        <v/>
      </c>
      <c r="O64" s="37" t="str">
        <f t="shared" si="3"/>
        <v/>
      </c>
      <c r="P64" s="34" t="str">
        <f t="shared" si="4"/>
        <v>Da giocare</v>
      </c>
      <c r="Q64" s="3">
        <f t="shared" si="5"/>
        <v>0</v>
      </c>
      <c r="R64" s="3">
        <f t="shared" si="6"/>
        <v>0</v>
      </c>
      <c r="S64" s="3">
        <f t="shared" si="7"/>
        <v>0</v>
      </c>
      <c r="T64" s="3">
        <f t="shared" si="8"/>
        <v>0</v>
      </c>
      <c r="U64" s="3">
        <f t="shared" si="9"/>
        <v>0</v>
      </c>
      <c r="V64" s="3">
        <f t="shared" si="10"/>
        <v>0</v>
      </c>
      <c r="W64" s="3">
        <f t="shared" si="11"/>
        <v>0</v>
      </c>
      <c r="X64" s="3">
        <f t="shared" si="12"/>
        <v>0</v>
      </c>
      <c r="Y64" s="3">
        <f t="shared" si="13"/>
        <v>0</v>
      </c>
      <c r="Z64" s="3">
        <f t="shared" si="14"/>
        <v>0</v>
      </c>
      <c r="AA64" s="3" t="s">
        <v>192</v>
      </c>
      <c r="AB64" s="3">
        <f t="shared" si="15"/>
        <v>0</v>
      </c>
      <c r="AC64" s="3">
        <f t="shared" si="16"/>
        <v>0</v>
      </c>
    </row>
    <row r="65" ht="24.0" customHeight="1">
      <c r="A65" s="34">
        <v>10.0</v>
      </c>
      <c r="B65" s="35"/>
      <c r="C65" s="35"/>
      <c r="D65" s="36" t="s">
        <v>99</v>
      </c>
      <c r="E65" s="36" t="s">
        <v>88</v>
      </c>
      <c r="F65" s="43"/>
      <c r="G65" s="26"/>
      <c r="H65" s="26"/>
      <c r="I65" s="26"/>
      <c r="J65" s="26"/>
      <c r="K65" s="26"/>
      <c r="L65" s="26"/>
      <c r="M65" s="34" t="str">
        <f t="shared" si="1"/>
        <v/>
      </c>
      <c r="N65" s="37" t="str">
        <f t="shared" si="2"/>
        <v/>
      </c>
      <c r="O65" s="37" t="str">
        <f t="shared" si="3"/>
        <v/>
      </c>
      <c r="P65" s="34" t="str">
        <f t="shared" si="4"/>
        <v>Da giocare</v>
      </c>
      <c r="Q65" s="3">
        <f t="shared" si="5"/>
        <v>0</v>
      </c>
      <c r="R65" s="3">
        <f t="shared" si="6"/>
        <v>0</v>
      </c>
      <c r="S65" s="3">
        <f t="shared" si="7"/>
        <v>0</v>
      </c>
      <c r="T65" s="3">
        <f t="shared" si="8"/>
        <v>0</v>
      </c>
      <c r="U65" s="3">
        <f t="shared" si="9"/>
        <v>0</v>
      </c>
      <c r="V65" s="3">
        <f t="shared" si="10"/>
        <v>0</v>
      </c>
      <c r="W65" s="3">
        <f t="shared" si="11"/>
        <v>0</v>
      </c>
      <c r="X65" s="3">
        <f t="shared" si="12"/>
        <v>0</v>
      </c>
      <c r="Y65" s="3">
        <f t="shared" si="13"/>
        <v>0</v>
      </c>
      <c r="Z65" s="3">
        <f t="shared" si="14"/>
        <v>0</v>
      </c>
      <c r="AA65" s="3" t="s">
        <v>193</v>
      </c>
      <c r="AB65" s="3">
        <f t="shared" si="15"/>
        <v>0</v>
      </c>
      <c r="AC65" s="3">
        <f t="shared" si="16"/>
        <v>0</v>
      </c>
    </row>
    <row r="66" ht="24.0" customHeight="1">
      <c r="A66" s="34">
        <v>10.0</v>
      </c>
      <c r="B66" s="35"/>
      <c r="C66" s="35"/>
      <c r="D66" s="36" t="s">
        <v>100</v>
      </c>
      <c r="E66" s="36" t="s">
        <v>91</v>
      </c>
      <c r="F66" s="43"/>
      <c r="G66" s="26"/>
      <c r="H66" s="26"/>
      <c r="I66" s="26"/>
      <c r="J66" s="26"/>
      <c r="K66" s="26"/>
      <c r="L66" s="26"/>
      <c r="M66" s="34" t="str">
        <f t="shared" si="1"/>
        <v/>
      </c>
      <c r="N66" s="37" t="str">
        <f t="shared" si="2"/>
        <v/>
      </c>
      <c r="O66" s="37" t="str">
        <f t="shared" si="3"/>
        <v/>
      </c>
      <c r="P66" s="34" t="str">
        <f t="shared" si="4"/>
        <v>Da giocare</v>
      </c>
      <c r="Q66" s="3">
        <f t="shared" si="5"/>
        <v>0</v>
      </c>
      <c r="R66" s="3">
        <f t="shared" si="6"/>
        <v>0</v>
      </c>
      <c r="S66" s="3">
        <f t="shared" si="7"/>
        <v>0</v>
      </c>
      <c r="T66" s="3">
        <f t="shared" si="8"/>
        <v>0</v>
      </c>
      <c r="U66" s="3">
        <f t="shared" si="9"/>
        <v>0</v>
      </c>
      <c r="V66" s="3">
        <f t="shared" si="10"/>
        <v>0</v>
      </c>
      <c r="W66" s="3">
        <f t="shared" si="11"/>
        <v>0</v>
      </c>
      <c r="X66" s="3">
        <f t="shared" si="12"/>
        <v>0</v>
      </c>
      <c r="Y66" s="3">
        <f t="shared" si="13"/>
        <v>0</v>
      </c>
      <c r="Z66" s="3">
        <f t="shared" si="14"/>
        <v>0</v>
      </c>
      <c r="AA66" s="3" t="s">
        <v>194</v>
      </c>
      <c r="AB66" s="3">
        <f t="shared" si="15"/>
        <v>0</v>
      </c>
      <c r="AC66" s="3">
        <f t="shared" si="16"/>
        <v>0</v>
      </c>
    </row>
    <row r="67" ht="24.0" customHeight="1">
      <c r="A67" s="34">
        <v>10.0</v>
      </c>
      <c r="B67" s="35"/>
      <c r="C67" s="35"/>
      <c r="D67" s="36" t="s">
        <v>97</v>
      </c>
      <c r="E67" s="36" t="s">
        <v>94</v>
      </c>
      <c r="F67" s="43"/>
      <c r="G67" s="26"/>
      <c r="H67" s="26"/>
      <c r="I67" s="26"/>
      <c r="J67" s="26"/>
      <c r="K67" s="26"/>
      <c r="L67" s="26"/>
      <c r="M67" s="34" t="str">
        <f t="shared" si="1"/>
        <v/>
      </c>
      <c r="N67" s="37" t="str">
        <f t="shared" si="2"/>
        <v/>
      </c>
      <c r="O67" s="37" t="str">
        <f t="shared" si="3"/>
        <v/>
      </c>
      <c r="P67" s="34" t="str">
        <f t="shared" si="4"/>
        <v>Da giocare</v>
      </c>
      <c r="Q67" s="3">
        <f t="shared" si="5"/>
        <v>0</v>
      </c>
      <c r="R67" s="3">
        <f t="shared" si="6"/>
        <v>0</v>
      </c>
      <c r="S67" s="3">
        <f t="shared" si="7"/>
        <v>0</v>
      </c>
      <c r="T67" s="3">
        <f t="shared" si="8"/>
        <v>0</v>
      </c>
      <c r="U67" s="3">
        <f t="shared" si="9"/>
        <v>0</v>
      </c>
      <c r="V67" s="3">
        <f t="shared" si="10"/>
        <v>0</v>
      </c>
      <c r="W67" s="3">
        <f t="shared" si="11"/>
        <v>0</v>
      </c>
      <c r="X67" s="3">
        <f t="shared" si="12"/>
        <v>0</v>
      </c>
      <c r="Y67" s="3">
        <f t="shared" si="13"/>
        <v>0</v>
      </c>
      <c r="Z67" s="3">
        <f t="shared" si="14"/>
        <v>0</v>
      </c>
      <c r="AA67" s="3" t="s">
        <v>195</v>
      </c>
      <c r="AB67" s="3">
        <f t="shared" si="15"/>
        <v>0</v>
      </c>
      <c r="AC67" s="3">
        <f t="shared" si="16"/>
        <v>0</v>
      </c>
    </row>
    <row r="68" ht="24.0" customHeight="1">
      <c r="A68" s="11">
        <v>11.0</v>
      </c>
      <c r="B68" s="12"/>
      <c r="C68" s="12"/>
      <c r="D68" s="13" t="s">
        <v>57</v>
      </c>
      <c r="E68" s="13" t="s">
        <v>87</v>
      </c>
      <c r="F68" s="32"/>
      <c r="G68" s="17"/>
      <c r="H68" s="17"/>
      <c r="I68" s="17"/>
      <c r="J68" s="17"/>
      <c r="K68" s="17"/>
      <c r="L68" s="17"/>
      <c r="M68" s="11" t="str">
        <f t="shared" si="1"/>
        <v/>
      </c>
      <c r="N68" s="20" t="str">
        <f t="shared" si="2"/>
        <v/>
      </c>
      <c r="O68" s="20" t="str">
        <f t="shared" si="3"/>
        <v/>
      </c>
      <c r="P68" s="11" t="str">
        <f t="shared" si="4"/>
        <v>Da giocare</v>
      </c>
      <c r="Q68" s="1">
        <f t="shared" si="5"/>
        <v>0</v>
      </c>
      <c r="R68" s="1">
        <f t="shared" si="6"/>
        <v>0</v>
      </c>
      <c r="S68" s="1">
        <f t="shared" si="7"/>
        <v>0</v>
      </c>
      <c r="T68" s="1">
        <f t="shared" si="8"/>
        <v>0</v>
      </c>
      <c r="U68" s="1">
        <f t="shared" si="9"/>
        <v>0</v>
      </c>
      <c r="V68" s="1">
        <f t="shared" si="10"/>
        <v>0</v>
      </c>
      <c r="W68" s="1">
        <f t="shared" si="11"/>
        <v>0</v>
      </c>
      <c r="X68" s="1">
        <f t="shared" si="12"/>
        <v>0</v>
      </c>
      <c r="Y68" s="1">
        <f t="shared" si="13"/>
        <v>0</v>
      </c>
      <c r="Z68" s="1">
        <f t="shared" si="14"/>
        <v>0</v>
      </c>
      <c r="AA68" s="1" t="s">
        <v>196</v>
      </c>
      <c r="AB68" s="1">
        <f t="shared" si="15"/>
        <v>0</v>
      </c>
      <c r="AC68" s="1">
        <f t="shared" si="16"/>
        <v>0</v>
      </c>
    </row>
    <row r="69" ht="24.0" customHeight="1">
      <c r="A69" s="21">
        <v>11.0</v>
      </c>
      <c r="B69" s="22"/>
      <c r="C69" s="22"/>
      <c r="D69" s="23" t="s">
        <v>90</v>
      </c>
      <c r="E69" s="23" t="s">
        <v>84</v>
      </c>
      <c r="F69" s="43"/>
      <c r="G69" s="26"/>
      <c r="H69" s="26"/>
      <c r="I69" s="26"/>
      <c r="J69" s="26"/>
      <c r="K69" s="26"/>
      <c r="L69" s="26"/>
      <c r="M69" s="21" t="str">
        <f t="shared" si="1"/>
        <v/>
      </c>
      <c r="N69" s="27" t="str">
        <f t="shared" si="2"/>
        <v/>
      </c>
      <c r="O69" s="27" t="str">
        <f t="shared" si="3"/>
        <v/>
      </c>
      <c r="P69" s="21" t="str">
        <f t="shared" si="4"/>
        <v>Da giocare</v>
      </c>
      <c r="Q69" s="1">
        <f t="shared" si="5"/>
        <v>0</v>
      </c>
      <c r="R69" s="1">
        <f t="shared" si="6"/>
        <v>0</v>
      </c>
      <c r="S69" s="1">
        <f t="shared" si="7"/>
        <v>0</v>
      </c>
      <c r="T69" s="1">
        <f t="shared" si="8"/>
        <v>0</v>
      </c>
      <c r="U69" s="1">
        <f t="shared" si="9"/>
        <v>0</v>
      </c>
      <c r="V69" s="1">
        <f t="shared" si="10"/>
        <v>0</v>
      </c>
      <c r="W69" s="1">
        <f t="shared" si="11"/>
        <v>0</v>
      </c>
      <c r="X69" s="1">
        <f t="shared" si="12"/>
        <v>0</v>
      </c>
      <c r="Y69" s="1">
        <f t="shared" si="13"/>
        <v>0</v>
      </c>
      <c r="Z69" s="1">
        <f t="shared" si="14"/>
        <v>0</v>
      </c>
      <c r="AA69" s="1" t="s">
        <v>197</v>
      </c>
      <c r="AB69" s="1">
        <f t="shared" si="15"/>
        <v>0</v>
      </c>
      <c r="AC69" s="1">
        <f t="shared" si="16"/>
        <v>0</v>
      </c>
    </row>
    <row r="70" ht="24.0" customHeight="1">
      <c r="A70" s="21">
        <v>11.0</v>
      </c>
      <c r="B70" s="22"/>
      <c r="C70" s="22"/>
      <c r="D70" s="23" t="s">
        <v>93</v>
      </c>
      <c r="E70" s="23" t="s">
        <v>88</v>
      </c>
      <c r="F70" s="43"/>
      <c r="G70" s="26"/>
      <c r="H70" s="26"/>
      <c r="I70" s="26"/>
      <c r="J70" s="26"/>
      <c r="K70" s="26"/>
      <c r="L70" s="26"/>
      <c r="M70" s="21" t="str">
        <f t="shared" si="1"/>
        <v/>
      </c>
      <c r="N70" s="27" t="str">
        <f t="shared" si="2"/>
        <v/>
      </c>
      <c r="O70" s="27" t="str">
        <f t="shared" si="3"/>
        <v/>
      </c>
      <c r="P70" s="21" t="str">
        <f t="shared" si="4"/>
        <v>Da giocare</v>
      </c>
      <c r="Q70" s="1">
        <f t="shared" si="5"/>
        <v>0</v>
      </c>
      <c r="R70" s="1">
        <f t="shared" si="6"/>
        <v>0</v>
      </c>
      <c r="S70" s="1">
        <f t="shared" si="7"/>
        <v>0</v>
      </c>
      <c r="T70" s="1">
        <f t="shared" si="8"/>
        <v>0</v>
      </c>
      <c r="U70" s="1">
        <f t="shared" si="9"/>
        <v>0</v>
      </c>
      <c r="V70" s="1">
        <f t="shared" si="10"/>
        <v>0</v>
      </c>
      <c r="W70" s="1">
        <f t="shared" si="11"/>
        <v>0</v>
      </c>
      <c r="X70" s="1">
        <f t="shared" si="12"/>
        <v>0</v>
      </c>
      <c r="Y70" s="1">
        <f t="shared" si="13"/>
        <v>0</v>
      </c>
      <c r="Z70" s="1">
        <f t="shared" si="14"/>
        <v>0</v>
      </c>
      <c r="AA70" s="1" t="s">
        <v>198</v>
      </c>
      <c r="AB70" s="1">
        <f t="shared" si="15"/>
        <v>0</v>
      </c>
      <c r="AC70" s="1">
        <f t="shared" si="16"/>
        <v>0</v>
      </c>
    </row>
    <row r="71" ht="24.0" customHeight="1">
      <c r="A71" s="21">
        <v>11.0</v>
      </c>
      <c r="B71" s="22"/>
      <c r="C71" s="22"/>
      <c r="D71" s="23" t="s">
        <v>96</v>
      </c>
      <c r="E71" s="23" t="s">
        <v>91</v>
      </c>
      <c r="F71" s="43"/>
      <c r="G71" s="26"/>
      <c r="H71" s="26"/>
      <c r="I71" s="26"/>
      <c r="J71" s="26"/>
      <c r="K71" s="26"/>
      <c r="L71" s="26"/>
      <c r="M71" s="21" t="str">
        <f t="shared" si="1"/>
        <v/>
      </c>
      <c r="N71" s="27" t="str">
        <f t="shared" si="2"/>
        <v/>
      </c>
      <c r="O71" s="27" t="str">
        <f t="shared" si="3"/>
        <v/>
      </c>
      <c r="P71" s="21" t="str">
        <f t="shared" si="4"/>
        <v>Da giocare</v>
      </c>
      <c r="Q71" s="1">
        <f t="shared" si="5"/>
        <v>0</v>
      </c>
      <c r="R71" s="1">
        <f t="shared" si="6"/>
        <v>0</v>
      </c>
      <c r="S71" s="1">
        <f t="shared" si="7"/>
        <v>0</v>
      </c>
      <c r="T71" s="1">
        <f t="shared" si="8"/>
        <v>0</v>
      </c>
      <c r="U71" s="1">
        <f t="shared" si="9"/>
        <v>0</v>
      </c>
      <c r="V71" s="1">
        <f t="shared" si="10"/>
        <v>0</v>
      </c>
      <c r="W71" s="1">
        <f t="shared" si="11"/>
        <v>0</v>
      </c>
      <c r="X71" s="1">
        <f t="shared" si="12"/>
        <v>0</v>
      </c>
      <c r="Y71" s="1">
        <f t="shared" si="13"/>
        <v>0</v>
      </c>
      <c r="Z71" s="1">
        <f t="shared" si="14"/>
        <v>0</v>
      </c>
      <c r="AA71" s="1" t="s">
        <v>199</v>
      </c>
      <c r="AB71" s="1">
        <f t="shared" si="15"/>
        <v>0</v>
      </c>
      <c r="AC71" s="1">
        <f t="shared" si="16"/>
        <v>0</v>
      </c>
    </row>
    <row r="72" ht="24.0" customHeight="1">
      <c r="A72" s="21">
        <v>11.0</v>
      </c>
      <c r="B72" s="22"/>
      <c r="C72" s="22"/>
      <c r="D72" s="23" t="s">
        <v>99</v>
      </c>
      <c r="E72" s="23" t="s">
        <v>94</v>
      </c>
      <c r="F72" s="43"/>
      <c r="G72" s="26"/>
      <c r="H72" s="26"/>
      <c r="I72" s="26"/>
      <c r="J72" s="26"/>
      <c r="K72" s="26"/>
      <c r="L72" s="26"/>
      <c r="M72" s="21" t="str">
        <f t="shared" si="1"/>
        <v/>
      </c>
      <c r="N72" s="27" t="str">
        <f t="shared" si="2"/>
        <v/>
      </c>
      <c r="O72" s="27" t="str">
        <f t="shared" si="3"/>
        <v/>
      </c>
      <c r="P72" s="21" t="str">
        <f t="shared" si="4"/>
        <v>Da giocare</v>
      </c>
      <c r="Q72" s="1">
        <f t="shared" si="5"/>
        <v>0</v>
      </c>
      <c r="R72" s="1">
        <f t="shared" si="6"/>
        <v>0</v>
      </c>
      <c r="S72" s="1">
        <f t="shared" si="7"/>
        <v>0</v>
      </c>
      <c r="T72" s="1">
        <f t="shared" si="8"/>
        <v>0</v>
      </c>
      <c r="U72" s="1">
        <f t="shared" si="9"/>
        <v>0</v>
      </c>
      <c r="V72" s="1">
        <f t="shared" si="10"/>
        <v>0</v>
      </c>
      <c r="W72" s="1">
        <f t="shared" si="11"/>
        <v>0</v>
      </c>
      <c r="X72" s="1">
        <f t="shared" si="12"/>
        <v>0</v>
      </c>
      <c r="Y72" s="1">
        <f t="shared" si="13"/>
        <v>0</v>
      </c>
      <c r="Z72" s="1">
        <f t="shared" si="14"/>
        <v>0</v>
      </c>
      <c r="AA72" s="1" t="s">
        <v>200</v>
      </c>
      <c r="AB72" s="1">
        <f t="shared" si="15"/>
        <v>0</v>
      </c>
      <c r="AC72" s="1">
        <f t="shared" si="16"/>
        <v>0</v>
      </c>
    </row>
    <row r="73" ht="24.0" customHeight="1">
      <c r="A73" s="21">
        <v>11.0</v>
      </c>
      <c r="B73" s="22"/>
      <c r="C73" s="22"/>
      <c r="D73" s="23" t="s">
        <v>100</v>
      </c>
      <c r="E73" s="23" t="s">
        <v>97</v>
      </c>
      <c r="F73" s="43"/>
      <c r="G73" s="26"/>
      <c r="H73" s="26"/>
      <c r="I73" s="26"/>
      <c r="J73" s="26"/>
      <c r="K73" s="26"/>
      <c r="L73" s="26"/>
      <c r="M73" s="21" t="str">
        <f t="shared" si="1"/>
        <v/>
      </c>
      <c r="N73" s="27" t="str">
        <f t="shared" si="2"/>
        <v/>
      </c>
      <c r="O73" s="27" t="str">
        <f t="shared" si="3"/>
        <v/>
      </c>
      <c r="P73" s="21" t="str">
        <f t="shared" si="4"/>
        <v>Da giocare</v>
      </c>
      <c r="Q73" s="1">
        <f t="shared" si="5"/>
        <v>0</v>
      </c>
      <c r="R73" s="1">
        <f t="shared" si="6"/>
        <v>0</v>
      </c>
      <c r="S73" s="1">
        <f t="shared" si="7"/>
        <v>0</v>
      </c>
      <c r="T73" s="1">
        <f t="shared" si="8"/>
        <v>0</v>
      </c>
      <c r="U73" s="1">
        <f t="shared" si="9"/>
        <v>0</v>
      </c>
      <c r="V73" s="1">
        <f t="shared" si="10"/>
        <v>0</v>
      </c>
      <c r="W73" s="1">
        <f t="shared" si="11"/>
        <v>0</v>
      </c>
      <c r="X73" s="1">
        <f t="shared" si="12"/>
        <v>0</v>
      </c>
      <c r="Y73" s="1">
        <f t="shared" si="13"/>
        <v>0</v>
      </c>
      <c r="Z73" s="1">
        <f t="shared" si="14"/>
        <v>0</v>
      </c>
      <c r="AA73" s="1" t="s">
        <v>201</v>
      </c>
      <c r="AB73" s="1">
        <f t="shared" si="15"/>
        <v>0</v>
      </c>
      <c r="AC73" s="1">
        <f t="shared" si="16"/>
        <v>0</v>
      </c>
    </row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conditionalFormatting sqref="P8:P73">
    <cfRule type="expression" dxfId="6" priority="1">
      <formula>AND($P8&lt;&gt;"Da giocare",$P8&lt;&gt;"OK")</formula>
    </cfRule>
  </conditionalFormatting>
  <dataValidations>
    <dataValidation type="decimal" allowBlank="1" sqref="G8:J73">
      <formula1>0.0</formula1>
      <formula2>7.0</formula2>
    </dataValidation>
    <dataValidation type="list" allowBlank="1" sqref="F8:F73">
      <formula1>"Conclusa,Tempo scaduto"</formula1>
    </dataValidation>
    <dataValidation type="decimal" allowBlank="1" sqref="K8:L73">
      <formula1>0.0</formula1>
      <formula2>999.0</formula2>
    </dataValidation>
  </dataValidation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>
      <pane xSplit="1.0" ySplit="7.0" topLeftCell="B8" activePane="bottomRight" state="frozen"/>
      <selection activeCell="B1" sqref="B1" pane="topRight"/>
      <selection activeCell="A8" sqref="A8" pane="bottomLeft"/>
      <selection activeCell="B8" sqref="B8" pane="bottomRight"/>
    </sheetView>
  </sheetViews>
  <sheetFormatPr customHeight="1" defaultColWidth="12.63" defaultRowHeight="15.0"/>
  <cols>
    <col customWidth="1" min="1" max="1" width="22.0"/>
    <col customWidth="1" min="2" max="39" width="14.0"/>
  </cols>
  <sheetData>
    <row r="1" ht="24.0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</row>
    <row r="2" ht="24.0" customHeight="1">
      <c r="A2" s="2" t="s">
        <v>2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</row>
    <row r="3" ht="24.0" customHeight="1">
      <c r="A3" s="1" t="s">
        <v>4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</row>
    <row r="4" ht="24.0" customHeight="1">
      <c r="A4" s="1" t="s">
        <v>5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>
        <f>J8</f>
        <v>15</v>
      </c>
      <c r="Q4" s="1">
        <f>J9</f>
        <v>15</v>
      </c>
      <c r="R4" s="1">
        <f>J10</f>
        <v>3</v>
      </c>
      <c r="S4" s="1">
        <f>J11</f>
        <v>25</v>
      </c>
      <c r="T4" s="1">
        <f>J12</f>
        <v>13</v>
      </c>
      <c r="U4" s="1">
        <f>J13</f>
        <v>6</v>
      </c>
      <c r="V4" s="1">
        <f>J14</f>
        <v>28</v>
      </c>
      <c r="W4" s="1">
        <f>J15</f>
        <v>10</v>
      </c>
      <c r="X4" s="1">
        <f>J16</f>
        <v>5</v>
      </c>
      <c r="Y4" s="1">
        <f>J17</f>
        <v>30</v>
      </c>
      <c r="Z4" s="1">
        <f>J18</f>
        <v>4</v>
      </c>
      <c r="AA4" s="1">
        <f>J19</f>
        <v>6</v>
      </c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</row>
    <row r="5" ht="24.0" customHeight="1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</row>
    <row r="6" ht="24.0" customHeight="1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</row>
    <row r="7" ht="36.0" customHeight="1">
      <c r="A7" s="5" t="s">
        <v>10</v>
      </c>
      <c r="B7" s="5" t="s">
        <v>12</v>
      </c>
      <c r="C7" s="5" t="s">
        <v>13</v>
      </c>
      <c r="D7" s="5" t="s">
        <v>14</v>
      </c>
      <c r="E7" s="5" t="s">
        <v>15</v>
      </c>
      <c r="F7" s="5" t="s">
        <v>16</v>
      </c>
      <c r="G7" s="5" t="s">
        <v>17</v>
      </c>
      <c r="H7" s="5" t="s">
        <v>24</v>
      </c>
      <c r="I7" s="5" t="s">
        <v>19</v>
      </c>
      <c r="J7" s="5" t="s">
        <v>11</v>
      </c>
      <c r="K7" s="5" t="s">
        <v>25</v>
      </c>
      <c r="L7" s="5" t="s">
        <v>26</v>
      </c>
      <c r="M7" s="5" t="s">
        <v>27</v>
      </c>
      <c r="N7" s="5" t="s">
        <v>29</v>
      </c>
      <c r="O7" s="5" t="s">
        <v>30</v>
      </c>
      <c r="P7" s="5" t="s">
        <v>31</v>
      </c>
      <c r="Q7" s="5" t="s">
        <v>32</v>
      </c>
      <c r="R7" s="5" t="s">
        <v>33</v>
      </c>
      <c r="S7" s="5" t="s">
        <v>34</v>
      </c>
      <c r="T7" s="5" t="s">
        <v>35</v>
      </c>
      <c r="U7" s="5" t="s">
        <v>36</v>
      </c>
      <c r="V7" s="5" t="s">
        <v>37</v>
      </c>
      <c r="W7" s="5" t="s">
        <v>38</v>
      </c>
      <c r="X7" s="5" t="s">
        <v>39</v>
      </c>
      <c r="Y7" s="5" t="s">
        <v>40</v>
      </c>
      <c r="Z7" s="5" t="s">
        <v>41</v>
      </c>
      <c r="AA7" s="5" t="s">
        <v>42</v>
      </c>
      <c r="AB7" s="5" t="s">
        <v>43</v>
      </c>
      <c r="AC7" s="5" t="s">
        <v>44</v>
      </c>
      <c r="AD7" s="5" t="s">
        <v>45</v>
      </c>
      <c r="AE7" s="5" t="s">
        <v>46</v>
      </c>
      <c r="AF7" s="5" t="s">
        <v>47</v>
      </c>
      <c r="AG7" s="5" t="s">
        <v>48</v>
      </c>
      <c r="AH7" s="5" t="s">
        <v>49</v>
      </c>
      <c r="AI7" s="5" t="s">
        <v>51</v>
      </c>
      <c r="AJ7" s="5" t="s">
        <v>52</v>
      </c>
      <c r="AK7" s="5" t="s">
        <v>53</v>
      </c>
      <c r="AL7" s="5" t="s">
        <v>54</v>
      </c>
      <c r="AM7" s="5" t="s">
        <v>55</v>
      </c>
    </row>
    <row r="8" ht="24.0" customHeight="1">
      <c r="A8" s="10" t="s">
        <v>57</v>
      </c>
      <c r="B8" s="3">
        <f>SUMIFS(Calendario!$Z$8:$Z$73,Calendario!$D$8:$D$73,$A8)+SUMIFS(Calendario!$Z$8:$Z$73,Calendario!$E$8:$E$73,$A8)</f>
        <v>1</v>
      </c>
      <c r="C8" s="3">
        <f>COUNTIFS(Calendario!$M$8:$M$73,$A8)</f>
        <v>1</v>
      </c>
      <c r="D8" s="3">
        <f t="shared" ref="D8:D19" si="1">B8-C8-E8</f>
        <v>0</v>
      </c>
      <c r="E8" s="3">
        <f>COUNTIFS(Calendario!$D$8:$D$73,$A8,Calendario!$F$8:$F$73,"Tempo scaduto",Calendario!$Z$8:$Z$73,1)+COUNTIFS(Calendario!$E$8:$E$73,$A8,Calendario!$F$8:$F$73,"Tempo scaduto",Calendario!$Z$8:$Z$73,1)</f>
        <v>0</v>
      </c>
      <c r="F8" s="3">
        <f>SUMIFS(Calendario!$Q$8:$Q$73,Calendario!$D$8:$D$73,$A8)+SUMIFS(Calendario!$R$8:$R$73,Calendario!$E$8:$E$73,$A8)</f>
        <v>12</v>
      </c>
      <c r="G8" s="3">
        <f>SUMIFS(Calendario!$R$8:$R$73,Calendario!$D$8:$D$73,$A8)+SUMIFS(Calendario!$Q$8:$Q$73,Calendario!$E$8:$E$73,$A8)</f>
        <v>4</v>
      </c>
      <c r="H8" s="3">
        <f t="shared" ref="H8:H19" si="2">F8-G8</f>
        <v>8</v>
      </c>
      <c r="I8" s="3">
        <f>SUMIFS(Calendario!$S$8:$S$73,Calendario!$D$8:$D$73,$A8)+SUMIFS(Calendario!$T$8:$T$73,Calendario!$E$8:$E$73,$A8)+SUMIFS(Calendario!$AB$8:$AB$73,Calendario!$D$8:$D$73,$A8)+SUMIFS(Calendario!$AC$8:$AC$73,Calendario!$E$8:$E$73,$A8)</f>
        <v>3</v>
      </c>
      <c r="J8" s="3">
        <f t="shared" ref="J8:J19" si="3">F8+I8</f>
        <v>15</v>
      </c>
      <c r="K8" s="3">
        <f t="shared" ref="K8:K19" si="4">COUNTIFS($J$8:$J$19,J8)</f>
        <v>2</v>
      </c>
      <c r="L8" s="3">
        <f t="shared" ref="L8:L19" si="5">IF(K8=2,SUMPRODUCT(AB8:AM8,--($P$4:$AA$4=J8)),IF(K8&gt;=3,SUMPRODUCT(P8:AA8,--($P$4:$AA$4=J8)),0))</f>
        <v>0</v>
      </c>
      <c r="M8" s="3">
        <f t="shared" ref="M8:M19" si="6">IF(K8&gt;=3,H8,0)</f>
        <v>0</v>
      </c>
      <c r="N8" s="3">
        <f t="shared" ref="N8:N19" si="7">1+COUNTIFS($J$8:$J$19,"&gt;"&amp;J8)+COUNTIFS($J$8:$J$19,J8,$L$8:$L$19,"&gt;"&amp;L8)+COUNTIFS($J$8:$J$19,J8,$L$8:$L$19,L8,$M$8:$M$19,"&gt;"&amp;M8)</f>
        <v>4</v>
      </c>
      <c r="O8" s="3">
        <f t="shared" ref="O8:O19" si="8">COUNTIFS($N$8:$N$19,"&lt;"&amp;N8)+COUNTIFS($N$8:N8,N8)</f>
        <v>4</v>
      </c>
      <c r="P8" s="3">
        <f>SUMIFS(Calendario!$N$8:$N$73,Calendario!$D$8:$D$73,$A8,Calendario!$E$8:$E$73,"Giuseppe")+SUMIFS(Calendario!$O$8:$O$73,Calendario!$E$8:$E$73,$A8,Calendario!$D$8:$D$73,"Giuseppe")</f>
        <v>0</v>
      </c>
      <c r="Q8" s="3">
        <f>SUMIFS(Calendario!$N$8:$N$73,Calendario!$D$8:$D$73,$A8,Calendario!$E$8:$E$73,"Marco")+SUMIFS(Calendario!$O$8:$O$73,Calendario!$E$8:$E$73,$A8,Calendario!$D$8:$D$73,"Marco")</f>
        <v>0</v>
      </c>
      <c r="R8" s="3">
        <f>SUMIFS(Calendario!$N$8:$N$73,Calendario!$D$8:$D$73,$A8,Calendario!$E$8:$E$73,"Alessandro C")+SUMIFS(Calendario!$O$8:$O$73,Calendario!$E$8:$E$73,$A8,Calendario!$D$8:$D$73,"Alessandro C")</f>
        <v>0</v>
      </c>
      <c r="S8" s="3">
        <f>SUMIFS(Calendario!$N$8:$N$73,Calendario!$D$8:$D$73,$A8,Calendario!$E$8:$E$73,"Alessandro P")+SUMIFS(Calendario!$O$8:$O$73,Calendario!$E$8:$E$73,$A8,Calendario!$D$8:$D$73,"Alessandro P")</f>
        <v>0</v>
      </c>
      <c r="T8" s="3">
        <f>SUMIFS(Calendario!$N$8:$N$73,Calendario!$D$8:$D$73,$A8,Calendario!$E$8:$E$73,"Francesco")+SUMIFS(Calendario!$O$8:$O$73,Calendario!$E$8:$E$73,$A8,Calendario!$D$8:$D$73,"Francesco")</f>
        <v>0</v>
      </c>
      <c r="U8" s="3">
        <f>SUMIFS(Calendario!$N$8:$N$73,Calendario!$D$8:$D$73,$A8,Calendario!$E$8:$E$73,"Fabrizio")+SUMIFS(Calendario!$O$8:$O$73,Calendario!$E$8:$E$73,$A8,Calendario!$D$8:$D$73,"Fabrizio")</f>
        <v>0</v>
      </c>
      <c r="V8" s="3">
        <f>SUMIFS(Calendario!$N$8:$N$73,Calendario!$D$8:$D$73,$A8,Calendario!$E$8:$E$73,"Alessio")+SUMIFS(Calendario!$O$8:$O$73,Calendario!$E$8:$E$73,$A8,Calendario!$D$8:$D$73,"Alessio")</f>
        <v>0</v>
      </c>
      <c r="W8" s="3">
        <f>SUMIFS(Calendario!$N$8:$N$73,Calendario!$D$8:$D$73,$A8,Calendario!$E$8:$E$73,"Leonardo")+SUMIFS(Calendario!$O$8:$O$73,Calendario!$E$8:$E$73,$A8,Calendario!$D$8:$D$73,"Leonardo")</f>
        <v>0</v>
      </c>
      <c r="X8" s="3">
        <f>SUMIFS(Calendario!$N$8:$N$73,Calendario!$D$8:$D$73,$A8,Calendario!$E$8:$E$73,"Gennaro")+SUMIFS(Calendario!$O$8:$O$73,Calendario!$E$8:$E$73,$A8,Calendario!$D$8:$D$73,"Gennaro")</f>
        <v>0</v>
      </c>
      <c r="Y8" s="3">
        <f>SUMIFS(Calendario!$N$8:$N$73,Calendario!$D$8:$D$73,$A8,Calendario!$E$8:$E$73,"Federico")+SUMIFS(Calendario!$O$8:$O$73,Calendario!$E$8:$E$73,$A8,Calendario!$D$8:$D$73,"Federico")</f>
        <v>0</v>
      </c>
      <c r="Z8" s="3">
        <f>SUMIFS(Calendario!$N$8:$N$73,Calendario!$D$8:$D$73,$A8,Calendario!$E$8:$E$73,"Michele")+SUMIFS(Calendario!$O$8:$O$73,Calendario!$E$8:$E$73,$A8,Calendario!$D$8:$D$73,"Michele")</f>
        <v>0</v>
      </c>
      <c r="AA8" s="3">
        <f>SUMIFS(Calendario!$N$8:$N$73,Calendario!$D$8:$D$73,$A8,Calendario!$E$8:$E$73,"Luca")+SUMIFS(Calendario!$O$8:$O$73,Calendario!$E$8:$E$73,$A8,Calendario!$D$8:$D$73,"Luca")</f>
        <v>0</v>
      </c>
      <c r="AB8" s="3">
        <f>0</f>
        <v>0</v>
      </c>
      <c r="AC8" s="3">
        <f>COUNTIFS(Calendario!$M$8:$M$73,$A8,Calendario!$D$8:$D$73,"Marco")+COUNTIFS(Calendario!$M$8:$M$73,$A8,Calendario!$E$8:$E$73,"Marco")</f>
        <v>0</v>
      </c>
      <c r="AD8" s="3">
        <f>COUNTIFS(Calendario!$M$8:$M$73,$A8,Calendario!$D$8:$D$73,"Alessandro C")+COUNTIFS(Calendario!$M$8:$M$73,$A8,Calendario!$E$8:$E$73,"Alessandro C")</f>
        <v>0</v>
      </c>
      <c r="AE8" s="3">
        <f>COUNTIFS(Calendario!$M$8:$M$73,$A8,Calendario!$D$8:$D$73,"Alessandro P")+COUNTIFS(Calendario!$M$8:$M$73,$A8,Calendario!$E$8:$E$73,"Alessandro P")</f>
        <v>0</v>
      </c>
      <c r="AF8" s="3">
        <f>COUNTIFS(Calendario!$M$8:$M$73,$A8,Calendario!$D$8:$D$73,"Francesco")+COUNTIFS(Calendario!$M$8:$M$73,$A8,Calendario!$E$8:$E$73,"Francesco")</f>
        <v>0</v>
      </c>
      <c r="AG8" s="3">
        <f>COUNTIFS(Calendario!$M$8:$M$73,$A8,Calendario!$D$8:$D$73,"Fabrizio")+COUNTIFS(Calendario!$M$8:$M$73,$A8,Calendario!$E$8:$E$73,"Fabrizio")</f>
        <v>0</v>
      </c>
      <c r="AH8" s="3">
        <f>COUNTIFS(Calendario!$M$8:$M$73,$A8,Calendario!$D$8:$D$73,"Alessio")+COUNTIFS(Calendario!$M$8:$M$73,$A8,Calendario!$E$8:$E$73,"Alessio")</f>
        <v>0</v>
      </c>
      <c r="AI8" s="3">
        <f>COUNTIFS(Calendario!$M$8:$M$73,$A8,Calendario!$D$8:$D$73,"Leonardo")+COUNTIFS(Calendario!$M$8:$M$73,$A8,Calendario!$E$8:$E$73,"Leonardo")</f>
        <v>0</v>
      </c>
      <c r="AJ8" s="3">
        <f>COUNTIFS(Calendario!$M$8:$M$73,$A8,Calendario!$D$8:$D$73,"Gennaro")+COUNTIFS(Calendario!$M$8:$M$73,$A8,Calendario!$E$8:$E$73,"Gennaro")</f>
        <v>0</v>
      </c>
      <c r="AK8" s="3">
        <f>COUNTIFS(Calendario!$M$8:$M$73,$A8,Calendario!$D$8:$D$73,"Federico")+COUNTIFS(Calendario!$M$8:$M$73,$A8,Calendario!$E$8:$E$73,"Federico")</f>
        <v>0</v>
      </c>
      <c r="AL8" s="3">
        <f>COUNTIFS(Calendario!$M$8:$M$73,$A8,Calendario!$D$8:$D$73,"Michele")+COUNTIFS(Calendario!$M$8:$M$73,$A8,Calendario!$E$8:$E$73,"Michele")</f>
        <v>0</v>
      </c>
      <c r="AM8" s="3">
        <f>COUNTIFS(Calendario!$M$8:$M$73,$A8,Calendario!$D$8:$D$73,"Luca")+COUNTIFS(Calendario!$M$8:$M$73,$A8,Calendario!$E$8:$E$73,"Luca")</f>
        <v>0</v>
      </c>
    </row>
    <row r="9" ht="24.0" customHeight="1">
      <c r="A9" s="28" t="s">
        <v>87</v>
      </c>
      <c r="B9" s="1">
        <f>SUMIFS(Calendario!$Z$8:$Z$73,Calendario!$D$8:$D$73,$A9)+SUMIFS(Calendario!$Z$8:$Z$73,Calendario!$E$8:$E$73,$A9)</f>
        <v>1</v>
      </c>
      <c r="C9" s="1">
        <f>COUNTIFS(Calendario!$M$8:$M$73,$A9)</f>
        <v>1</v>
      </c>
      <c r="D9" s="1">
        <f t="shared" si="1"/>
        <v>0</v>
      </c>
      <c r="E9" s="1">
        <f>COUNTIFS(Calendario!$D$8:$D$73,$A9,Calendario!$F$8:$F$73,"Tempo scaduto",Calendario!$Z$8:$Z$73,1)+COUNTIFS(Calendario!$E$8:$E$73,$A9,Calendario!$F$8:$F$73,"Tempo scaduto",Calendario!$Z$8:$Z$73,1)</f>
        <v>0</v>
      </c>
      <c r="F9" s="1">
        <f>SUMIFS(Calendario!$Q$8:$Q$73,Calendario!$D$8:$D$73,$A9)+SUMIFS(Calendario!$R$8:$R$73,Calendario!$E$8:$E$73,$A9)</f>
        <v>12</v>
      </c>
      <c r="G9" s="1">
        <f>SUMIFS(Calendario!$R$8:$R$73,Calendario!$D$8:$D$73,$A9)+SUMIFS(Calendario!$Q$8:$Q$73,Calendario!$E$8:$E$73,$A9)</f>
        <v>4</v>
      </c>
      <c r="H9" s="1">
        <f t="shared" si="2"/>
        <v>8</v>
      </c>
      <c r="I9" s="1">
        <f>SUMIFS(Calendario!$S$8:$S$73,Calendario!$D$8:$D$73,$A9)+SUMIFS(Calendario!$T$8:$T$73,Calendario!$E$8:$E$73,$A9)+SUMIFS(Calendario!$AB$8:$AB$73,Calendario!$D$8:$D$73,$A9)+SUMIFS(Calendario!$AC$8:$AC$73,Calendario!$E$8:$E$73,$A9)</f>
        <v>3</v>
      </c>
      <c r="J9" s="1">
        <f t="shared" si="3"/>
        <v>15</v>
      </c>
      <c r="K9" s="1">
        <f t="shared" si="4"/>
        <v>2</v>
      </c>
      <c r="L9" s="1">
        <f t="shared" si="5"/>
        <v>0</v>
      </c>
      <c r="M9" s="1">
        <f t="shared" si="6"/>
        <v>0</v>
      </c>
      <c r="N9" s="1">
        <f t="shared" si="7"/>
        <v>4</v>
      </c>
      <c r="O9" s="1">
        <f t="shared" si="8"/>
        <v>5</v>
      </c>
      <c r="P9" s="1">
        <f>SUMIFS(Calendario!$N$8:$N$73,Calendario!$D$8:$D$73,$A9,Calendario!$E$8:$E$73,"Giuseppe")+SUMIFS(Calendario!$O$8:$O$73,Calendario!$E$8:$E$73,$A9,Calendario!$D$8:$D$73,"Giuseppe")</f>
        <v>0</v>
      </c>
      <c r="Q9" s="1">
        <f>SUMIFS(Calendario!$N$8:$N$73,Calendario!$D$8:$D$73,$A9,Calendario!$E$8:$E$73,"Marco")+SUMIFS(Calendario!$O$8:$O$73,Calendario!$E$8:$E$73,$A9,Calendario!$D$8:$D$73,"Marco")</f>
        <v>0</v>
      </c>
      <c r="R9" s="1">
        <f>SUMIFS(Calendario!$N$8:$N$73,Calendario!$D$8:$D$73,$A9,Calendario!$E$8:$E$73,"Alessandro C")+SUMIFS(Calendario!$O$8:$O$73,Calendario!$E$8:$E$73,$A9,Calendario!$D$8:$D$73,"Alessandro C")</f>
        <v>0</v>
      </c>
      <c r="S9" s="1">
        <f>SUMIFS(Calendario!$N$8:$N$73,Calendario!$D$8:$D$73,$A9,Calendario!$E$8:$E$73,"Alessandro P")+SUMIFS(Calendario!$O$8:$O$73,Calendario!$E$8:$E$73,$A9,Calendario!$D$8:$D$73,"Alessandro P")</f>
        <v>0</v>
      </c>
      <c r="T9" s="1">
        <f>SUMIFS(Calendario!$N$8:$N$73,Calendario!$D$8:$D$73,$A9,Calendario!$E$8:$E$73,"Francesco")+SUMIFS(Calendario!$O$8:$O$73,Calendario!$E$8:$E$73,$A9,Calendario!$D$8:$D$73,"Francesco")</f>
        <v>0</v>
      </c>
      <c r="U9" s="1">
        <f>SUMIFS(Calendario!$N$8:$N$73,Calendario!$D$8:$D$73,$A9,Calendario!$E$8:$E$73,"Fabrizio")+SUMIFS(Calendario!$O$8:$O$73,Calendario!$E$8:$E$73,$A9,Calendario!$D$8:$D$73,"Fabrizio")</f>
        <v>0</v>
      </c>
      <c r="V9" s="1">
        <f>SUMIFS(Calendario!$N$8:$N$73,Calendario!$D$8:$D$73,$A9,Calendario!$E$8:$E$73,"Alessio")+SUMIFS(Calendario!$O$8:$O$73,Calendario!$E$8:$E$73,$A9,Calendario!$D$8:$D$73,"Alessio")</f>
        <v>0</v>
      </c>
      <c r="W9" s="1">
        <f>SUMIFS(Calendario!$N$8:$N$73,Calendario!$D$8:$D$73,$A9,Calendario!$E$8:$E$73,"Leonardo")+SUMIFS(Calendario!$O$8:$O$73,Calendario!$E$8:$E$73,$A9,Calendario!$D$8:$D$73,"Leonardo")</f>
        <v>0</v>
      </c>
      <c r="X9" s="1">
        <f>SUMIFS(Calendario!$N$8:$N$73,Calendario!$D$8:$D$73,$A9,Calendario!$E$8:$E$73,"Gennaro")+SUMIFS(Calendario!$O$8:$O$73,Calendario!$E$8:$E$73,$A9,Calendario!$D$8:$D$73,"Gennaro")</f>
        <v>0</v>
      </c>
      <c r="Y9" s="1">
        <f>SUMIFS(Calendario!$N$8:$N$73,Calendario!$D$8:$D$73,$A9,Calendario!$E$8:$E$73,"Federico")+SUMIFS(Calendario!$O$8:$O$73,Calendario!$E$8:$E$73,$A9,Calendario!$D$8:$D$73,"Federico")</f>
        <v>0</v>
      </c>
      <c r="Z9" s="1">
        <f>SUMIFS(Calendario!$N$8:$N$73,Calendario!$D$8:$D$73,$A9,Calendario!$E$8:$E$73,"Michele")+SUMIFS(Calendario!$O$8:$O$73,Calendario!$E$8:$E$73,$A9,Calendario!$D$8:$D$73,"Michele")</f>
        <v>0</v>
      </c>
      <c r="AA9" s="1">
        <f>SUMIFS(Calendario!$N$8:$N$73,Calendario!$D$8:$D$73,$A9,Calendario!$E$8:$E$73,"Luca")+SUMIFS(Calendario!$O$8:$O$73,Calendario!$E$8:$E$73,$A9,Calendario!$D$8:$D$73,"Luca")</f>
        <v>0</v>
      </c>
      <c r="AB9" s="1">
        <f>COUNTIFS(Calendario!$M$8:$M$73,$A9,Calendario!$D$8:$D$73,"Giuseppe")+COUNTIFS(Calendario!$M$8:$M$73,$A9,Calendario!$E$8:$E$73,"Giuseppe")</f>
        <v>0</v>
      </c>
      <c r="AC9" s="1">
        <f>0</f>
        <v>0</v>
      </c>
      <c r="AD9" s="1">
        <f>COUNTIFS(Calendario!$M$8:$M$73,$A9,Calendario!$D$8:$D$73,"Alessandro C")+COUNTIFS(Calendario!$M$8:$M$73,$A9,Calendario!$E$8:$E$73,"Alessandro C")</f>
        <v>0</v>
      </c>
      <c r="AE9" s="1">
        <f>COUNTIFS(Calendario!$M$8:$M$73,$A9,Calendario!$D$8:$D$73,"Alessandro P")+COUNTIFS(Calendario!$M$8:$M$73,$A9,Calendario!$E$8:$E$73,"Alessandro P")</f>
        <v>0</v>
      </c>
      <c r="AF9" s="1">
        <f>COUNTIFS(Calendario!$M$8:$M$73,$A9,Calendario!$D$8:$D$73,"Francesco")+COUNTIFS(Calendario!$M$8:$M$73,$A9,Calendario!$E$8:$E$73,"Francesco")</f>
        <v>0</v>
      </c>
      <c r="AG9" s="1">
        <f>COUNTIFS(Calendario!$M$8:$M$73,$A9,Calendario!$D$8:$D$73,"Fabrizio")+COUNTIFS(Calendario!$M$8:$M$73,$A9,Calendario!$E$8:$E$73,"Fabrizio")</f>
        <v>0</v>
      </c>
      <c r="AH9" s="1">
        <f>COUNTIFS(Calendario!$M$8:$M$73,$A9,Calendario!$D$8:$D$73,"Alessio")+COUNTIFS(Calendario!$M$8:$M$73,$A9,Calendario!$E$8:$E$73,"Alessio")</f>
        <v>0</v>
      </c>
      <c r="AI9" s="1">
        <f>COUNTIFS(Calendario!$M$8:$M$73,$A9,Calendario!$D$8:$D$73,"Leonardo")+COUNTIFS(Calendario!$M$8:$M$73,$A9,Calendario!$E$8:$E$73,"Leonardo")</f>
        <v>0</v>
      </c>
      <c r="AJ9" s="1">
        <f>COUNTIFS(Calendario!$M$8:$M$73,$A9,Calendario!$D$8:$D$73,"Gennaro")+COUNTIFS(Calendario!$M$8:$M$73,$A9,Calendario!$E$8:$E$73,"Gennaro")</f>
        <v>0</v>
      </c>
      <c r="AK9" s="1">
        <f>COUNTIFS(Calendario!$M$8:$M$73,$A9,Calendario!$D$8:$D$73,"Federico")+COUNTIFS(Calendario!$M$8:$M$73,$A9,Calendario!$E$8:$E$73,"Federico")</f>
        <v>0</v>
      </c>
      <c r="AL9" s="1">
        <f>COUNTIFS(Calendario!$M$8:$M$73,$A9,Calendario!$D$8:$D$73,"Michele")+COUNTIFS(Calendario!$M$8:$M$73,$A9,Calendario!$E$8:$E$73,"Michele")</f>
        <v>0</v>
      </c>
      <c r="AM9" s="1">
        <f>COUNTIFS(Calendario!$M$8:$M$73,$A9,Calendario!$D$8:$D$73,"Luca")+COUNTIFS(Calendario!$M$8:$M$73,$A9,Calendario!$E$8:$E$73,"Luca")</f>
        <v>0</v>
      </c>
    </row>
    <row r="10" ht="24.0" customHeight="1">
      <c r="A10" s="10" t="s">
        <v>90</v>
      </c>
      <c r="B10" s="3">
        <f>SUMIFS(Calendario!$Z$8:$Z$73,Calendario!$D$8:$D$73,$A10)+SUMIFS(Calendario!$Z$8:$Z$73,Calendario!$E$8:$E$73,$A10)</f>
        <v>1</v>
      </c>
      <c r="C10" s="3">
        <f>COUNTIFS(Calendario!$M$8:$M$73,$A10)</f>
        <v>0</v>
      </c>
      <c r="D10" s="3">
        <f t="shared" si="1"/>
        <v>1</v>
      </c>
      <c r="E10" s="3">
        <f>COUNTIFS(Calendario!$D$8:$D$73,$A10,Calendario!$F$8:$F$73,"Tempo scaduto",Calendario!$Z$8:$Z$73,1)+COUNTIFS(Calendario!$E$8:$E$73,$A10,Calendario!$F$8:$F$73,"Tempo scaduto",Calendario!$Z$8:$Z$73,1)</f>
        <v>0</v>
      </c>
      <c r="F10" s="3">
        <f>SUMIFS(Calendario!$Q$8:$Q$73,Calendario!$D$8:$D$73,$A10)+SUMIFS(Calendario!$R$8:$R$73,Calendario!$E$8:$E$73,$A10)</f>
        <v>3</v>
      </c>
      <c r="G10" s="3">
        <f>SUMIFS(Calendario!$R$8:$R$73,Calendario!$D$8:$D$73,$A10)+SUMIFS(Calendario!$Q$8:$Q$73,Calendario!$E$8:$E$73,$A10)</f>
        <v>12</v>
      </c>
      <c r="H10" s="3">
        <f t="shared" si="2"/>
        <v>-9</v>
      </c>
      <c r="I10" s="3">
        <f>SUMIFS(Calendario!$S$8:$S$73,Calendario!$D$8:$D$73,$A10)+SUMIFS(Calendario!$T$8:$T$73,Calendario!$E$8:$E$73,$A10)+SUMIFS(Calendario!$AB$8:$AB$73,Calendario!$D$8:$D$73,$A10)+SUMIFS(Calendario!$AC$8:$AC$73,Calendario!$E$8:$E$73,$A10)</f>
        <v>0</v>
      </c>
      <c r="J10" s="3">
        <f t="shared" si="3"/>
        <v>3</v>
      </c>
      <c r="K10" s="3">
        <f t="shared" si="4"/>
        <v>1</v>
      </c>
      <c r="L10" s="3">
        <f t="shared" si="5"/>
        <v>0</v>
      </c>
      <c r="M10" s="3">
        <f t="shared" si="6"/>
        <v>0</v>
      </c>
      <c r="N10" s="3">
        <f t="shared" si="7"/>
        <v>12</v>
      </c>
      <c r="O10" s="3">
        <f t="shared" si="8"/>
        <v>12</v>
      </c>
      <c r="P10" s="3">
        <f>SUMIFS(Calendario!$N$8:$N$73,Calendario!$D$8:$D$73,$A10,Calendario!$E$8:$E$73,"Giuseppe")+SUMIFS(Calendario!$O$8:$O$73,Calendario!$E$8:$E$73,$A10,Calendario!$D$8:$D$73,"Giuseppe")</f>
        <v>0</v>
      </c>
      <c r="Q10" s="3">
        <f>SUMIFS(Calendario!$N$8:$N$73,Calendario!$D$8:$D$73,$A10,Calendario!$E$8:$E$73,"Marco")+SUMIFS(Calendario!$O$8:$O$73,Calendario!$E$8:$E$73,$A10,Calendario!$D$8:$D$73,"Marco")</f>
        <v>0</v>
      </c>
      <c r="R10" s="3">
        <f>SUMIFS(Calendario!$N$8:$N$73,Calendario!$D$8:$D$73,$A10,Calendario!$E$8:$E$73,"Alessandro C")+SUMIFS(Calendario!$O$8:$O$73,Calendario!$E$8:$E$73,$A10,Calendario!$D$8:$D$73,"Alessandro C")</f>
        <v>0</v>
      </c>
      <c r="S10" s="3">
        <f>SUMIFS(Calendario!$N$8:$N$73,Calendario!$D$8:$D$73,$A10,Calendario!$E$8:$E$73,"Alessandro P")+SUMIFS(Calendario!$O$8:$O$73,Calendario!$E$8:$E$73,$A10,Calendario!$D$8:$D$73,"Alessandro P")</f>
        <v>0</v>
      </c>
      <c r="T10" s="3">
        <f>SUMIFS(Calendario!$N$8:$N$73,Calendario!$D$8:$D$73,$A10,Calendario!$E$8:$E$73,"Francesco")+SUMIFS(Calendario!$O$8:$O$73,Calendario!$E$8:$E$73,$A10,Calendario!$D$8:$D$73,"Francesco")</f>
        <v>0</v>
      </c>
      <c r="U10" s="3">
        <f>SUMIFS(Calendario!$N$8:$N$73,Calendario!$D$8:$D$73,$A10,Calendario!$E$8:$E$73,"Fabrizio")+SUMIFS(Calendario!$O$8:$O$73,Calendario!$E$8:$E$73,$A10,Calendario!$D$8:$D$73,"Fabrizio")</f>
        <v>0</v>
      </c>
      <c r="V10" s="3">
        <f>SUMIFS(Calendario!$N$8:$N$73,Calendario!$D$8:$D$73,$A10,Calendario!$E$8:$E$73,"Alessio")+SUMIFS(Calendario!$O$8:$O$73,Calendario!$E$8:$E$73,$A10,Calendario!$D$8:$D$73,"Alessio")</f>
        <v>0</v>
      </c>
      <c r="W10" s="3">
        <f>SUMIFS(Calendario!$N$8:$N$73,Calendario!$D$8:$D$73,$A10,Calendario!$E$8:$E$73,"Leonardo")+SUMIFS(Calendario!$O$8:$O$73,Calendario!$E$8:$E$73,$A10,Calendario!$D$8:$D$73,"Leonardo")</f>
        <v>0</v>
      </c>
      <c r="X10" s="3">
        <f>SUMIFS(Calendario!$N$8:$N$73,Calendario!$D$8:$D$73,$A10,Calendario!$E$8:$E$73,"Gennaro")+SUMIFS(Calendario!$O$8:$O$73,Calendario!$E$8:$E$73,$A10,Calendario!$D$8:$D$73,"Gennaro")</f>
        <v>0</v>
      </c>
      <c r="Y10" s="3">
        <f>SUMIFS(Calendario!$N$8:$N$73,Calendario!$D$8:$D$73,$A10,Calendario!$E$8:$E$73,"Federico")+SUMIFS(Calendario!$O$8:$O$73,Calendario!$E$8:$E$73,$A10,Calendario!$D$8:$D$73,"Federico")</f>
        <v>0</v>
      </c>
      <c r="Z10" s="3">
        <f>SUMIFS(Calendario!$N$8:$N$73,Calendario!$D$8:$D$73,$A10,Calendario!$E$8:$E$73,"Michele")+SUMIFS(Calendario!$O$8:$O$73,Calendario!$E$8:$E$73,$A10,Calendario!$D$8:$D$73,"Michele")</f>
        <v>0</v>
      </c>
      <c r="AA10" s="3">
        <f>SUMIFS(Calendario!$N$8:$N$73,Calendario!$D$8:$D$73,$A10,Calendario!$E$8:$E$73,"Luca")+SUMIFS(Calendario!$O$8:$O$73,Calendario!$E$8:$E$73,$A10,Calendario!$D$8:$D$73,"Luca")</f>
        <v>0</v>
      </c>
      <c r="AB10" s="3">
        <f>COUNTIFS(Calendario!$M$8:$M$73,$A10,Calendario!$D$8:$D$73,"Giuseppe")+COUNTIFS(Calendario!$M$8:$M$73,$A10,Calendario!$E$8:$E$73,"Giuseppe")</f>
        <v>0</v>
      </c>
      <c r="AC10" s="3">
        <f>COUNTIFS(Calendario!$M$8:$M$73,$A10,Calendario!$D$8:$D$73,"Marco")+COUNTIFS(Calendario!$M$8:$M$73,$A10,Calendario!$E$8:$E$73,"Marco")</f>
        <v>0</v>
      </c>
      <c r="AD10" s="3">
        <f>0</f>
        <v>0</v>
      </c>
      <c r="AE10" s="3">
        <f>COUNTIFS(Calendario!$M$8:$M$73,$A10,Calendario!$D$8:$D$73,"Alessandro P")+COUNTIFS(Calendario!$M$8:$M$73,$A10,Calendario!$E$8:$E$73,"Alessandro P")</f>
        <v>0</v>
      </c>
      <c r="AF10" s="3">
        <f>COUNTIFS(Calendario!$M$8:$M$73,$A10,Calendario!$D$8:$D$73,"Francesco")+COUNTIFS(Calendario!$M$8:$M$73,$A10,Calendario!$E$8:$E$73,"Francesco")</f>
        <v>0</v>
      </c>
      <c r="AG10" s="3">
        <f>COUNTIFS(Calendario!$M$8:$M$73,$A10,Calendario!$D$8:$D$73,"Fabrizio")+COUNTIFS(Calendario!$M$8:$M$73,$A10,Calendario!$E$8:$E$73,"Fabrizio")</f>
        <v>0</v>
      </c>
      <c r="AH10" s="3">
        <f>COUNTIFS(Calendario!$M$8:$M$73,$A10,Calendario!$D$8:$D$73,"Alessio")+COUNTIFS(Calendario!$M$8:$M$73,$A10,Calendario!$E$8:$E$73,"Alessio")</f>
        <v>0</v>
      </c>
      <c r="AI10" s="3">
        <f>COUNTIFS(Calendario!$M$8:$M$73,$A10,Calendario!$D$8:$D$73,"Leonardo")+COUNTIFS(Calendario!$M$8:$M$73,$A10,Calendario!$E$8:$E$73,"Leonardo")</f>
        <v>0</v>
      </c>
      <c r="AJ10" s="3">
        <f>COUNTIFS(Calendario!$M$8:$M$73,$A10,Calendario!$D$8:$D$73,"Gennaro")+COUNTIFS(Calendario!$M$8:$M$73,$A10,Calendario!$E$8:$E$73,"Gennaro")</f>
        <v>0</v>
      </c>
      <c r="AK10" s="3">
        <f>COUNTIFS(Calendario!$M$8:$M$73,$A10,Calendario!$D$8:$D$73,"Federico")+COUNTIFS(Calendario!$M$8:$M$73,$A10,Calendario!$E$8:$E$73,"Federico")</f>
        <v>0</v>
      </c>
      <c r="AL10" s="3">
        <f>COUNTIFS(Calendario!$M$8:$M$73,$A10,Calendario!$D$8:$D$73,"Michele")+COUNTIFS(Calendario!$M$8:$M$73,$A10,Calendario!$E$8:$E$73,"Michele")</f>
        <v>0</v>
      </c>
      <c r="AM10" s="3">
        <f>COUNTIFS(Calendario!$M$8:$M$73,$A10,Calendario!$D$8:$D$73,"Luca")+COUNTIFS(Calendario!$M$8:$M$73,$A10,Calendario!$E$8:$E$73,"Luca")</f>
        <v>0</v>
      </c>
    </row>
    <row r="11" ht="24.0" customHeight="1">
      <c r="A11" s="28" t="s">
        <v>93</v>
      </c>
      <c r="B11" s="1">
        <f>SUMIFS(Calendario!$Z$8:$Z$73,Calendario!$D$8:$D$73,$A11)+SUMIFS(Calendario!$Z$8:$Z$73,Calendario!$E$8:$E$73,$A11)</f>
        <v>2</v>
      </c>
      <c r="C11" s="1">
        <f>COUNTIFS(Calendario!$M$8:$M$73,$A11)</f>
        <v>1</v>
      </c>
      <c r="D11" s="1">
        <f t="shared" si="1"/>
        <v>1</v>
      </c>
      <c r="E11" s="1">
        <f>COUNTIFS(Calendario!$D$8:$D$73,$A11,Calendario!$F$8:$F$73,"Tempo scaduto",Calendario!$Z$8:$Z$73,1)+COUNTIFS(Calendario!$E$8:$E$73,$A11,Calendario!$F$8:$F$73,"Tempo scaduto",Calendario!$Z$8:$Z$73,1)</f>
        <v>0</v>
      </c>
      <c r="F11" s="1">
        <f>SUMIFS(Calendario!$Q$8:$Q$73,Calendario!$D$8:$D$73,$A11)+SUMIFS(Calendario!$R$8:$R$73,Calendario!$E$8:$E$73,$A11)</f>
        <v>22</v>
      </c>
      <c r="G11" s="1">
        <f>SUMIFS(Calendario!$R$8:$R$73,Calendario!$D$8:$D$73,$A11)+SUMIFS(Calendario!$Q$8:$Q$73,Calendario!$E$8:$E$73,$A11)</f>
        <v>14</v>
      </c>
      <c r="H11" s="1">
        <f t="shared" si="2"/>
        <v>8</v>
      </c>
      <c r="I11" s="1">
        <f>SUMIFS(Calendario!$S$8:$S$73,Calendario!$D$8:$D$73,$A11)+SUMIFS(Calendario!$T$8:$T$73,Calendario!$E$8:$E$73,$A11)+SUMIFS(Calendario!$AB$8:$AB$73,Calendario!$D$8:$D$73,$A11)+SUMIFS(Calendario!$AC$8:$AC$73,Calendario!$E$8:$E$73,$A11)</f>
        <v>3</v>
      </c>
      <c r="J11" s="1">
        <f t="shared" si="3"/>
        <v>25</v>
      </c>
      <c r="K11" s="1">
        <f t="shared" si="4"/>
        <v>1</v>
      </c>
      <c r="L11" s="1">
        <f t="shared" si="5"/>
        <v>0</v>
      </c>
      <c r="M11" s="1">
        <f t="shared" si="6"/>
        <v>0</v>
      </c>
      <c r="N11" s="1">
        <f t="shared" si="7"/>
        <v>3</v>
      </c>
      <c r="O11" s="1">
        <f t="shared" si="8"/>
        <v>3</v>
      </c>
      <c r="P11" s="1">
        <f>SUMIFS(Calendario!$N$8:$N$73,Calendario!$D$8:$D$73,$A11,Calendario!$E$8:$E$73,"Giuseppe")+SUMIFS(Calendario!$O$8:$O$73,Calendario!$E$8:$E$73,$A11,Calendario!$D$8:$D$73,"Giuseppe")</f>
        <v>0</v>
      </c>
      <c r="Q11" s="1">
        <f>SUMIFS(Calendario!$N$8:$N$73,Calendario!$D$8:$D$73,$A11,Calendario!$E$8:$E$73,"Marco")+SUMIFS(Calendario!$O$8:$O$73,Calendario!$E$8:$E$73,$A11,Calendario!$D$8:$D$73,"Marco")</f>
        <v>0</v>
      </c>
      <c r="R11" s="1">
        <f>SUMIFS(Calendario!$N$8:$N$73,Calendario!$D$8:$D$73,$A11,Calendario!$E$8:$E$73,"Alessandro C")+SUMIFS(Calendario!$O$8:$O$73,Calendario!$E$8:$E$73,$A11,Calendario!$D$8:$D$73,"Alessandro C")</f>
        <v>0</v>
      </c>
      <c r="S11" s="1">
        <f>SUMIFS(Calendario!$N$8:$N$73,Calendario!$D$8:$D$73,$A11,Calendario!$E$8:$E$73,"Alessandro P")+SUMIFS(Calendario!$O$8:$O$73,Calendario!$E$8:$E$73,$A11,Calendario!$D$8:$D$73,"Alessandro P")</f>
        <v>0</v>
      </c>
      <c r="T11" s="1">
        <f>SUMIFS(Calendario!$N$8:$N$73,Calendario!$D$8:$D$73,$A11,Calendario!$E$8:$E$73,"Francesco")+SUMIFS(Calendario!$O$8:$O$73,Calendario!$E$8:$E$73,$A11,Calendario!$D$8:$D$73,"Francesco")</f>
        <v>0</v>
      </c>
      <c r="U11" s="1">
        <f>SUMIFS(Calendario!$N$8:$N$73,Calendario!$D$8:$D$73,$A11,Calendario!$E$8:$E$73,"Fabrizio")+SUMIFS(Calendario!$O$8:$O$73,Calendario!$E$8:$E$73,$A11,Calendario!$D$8:$D$73,"Fabrizio")</f>
        <v>0</v>
      </c>
      <c r="V11" s="1">
        <f>SUMIFS(Calendario!$N$8:$N$73,Calendario!$D$8:$D$73,$A11,Calendario!$E$8:$E$73,"Alessio")+SUMIFS(Calendario!$O$8:$O$73,Calendario!$E$8:$E$73,$A11,Calendario!$D$8:$D$73,"Alessio")</f>
        <v>0</v>
      </c>
      <c r="W11" s="1">
        <f>SUMIFS(Calendario!$N$8:$N$73,Calendario!$D$8:$D$73,$A11,Calendario!$E$8:$E$73,"Leonardo")+SUMIFS(Calendario!$O$8:$O$73,Calendario!$E$8:$E$73,$A11,Calendario!$D$8:$D$73,"Leonardo")</f>
        <v>0</v>
      </c>
      <c r="X11" s="1">
        <f>SUMIFS(Calendario!$N$8:$N$73,Calendario!$D$8:$D$73,$A11,Calendario!$E$8:$E$73,"Gennaro")+SUMIFS(Calendario!$O$8:$O$73,Calendario!$E$8:$E$73,$A11,Calendario!$D$8:$D$73,"Gennaro")</f>
        <v>0</v>
      </c>
      <c r="Y11" s="1">
        <f>SUMIFS(Calendario!$N$8:$N$73,Calendario!$D$8:$D$73,$A11,Calendario!$E$8:$E$73,"Federico")+SUMIFS(Calendario!$O$8:$O$73,Calendario!$E$8:$E$73,$A11,Calendario!$D$8:$D$73,"Federico")</f>
        <v>0</v>
      </c>
      <c r="Z11" s="1">
        <f>SUMIFS(Calendario!$N$8:$N$73,Calendario!$D$8:$D$73,$A11,Calendario!$E$8:$E$73,"Michele")+SUMIFS(Calendario!$O$8:$O$73,Calendario!$E$8:$E$73,$A11,Calendario!$D$8:$D$73,"Michele")</f>
        <v>0</v>
      </c>
      <c r="AA11" s="1">
        <f>SUMIFS(Calendario!$N$8:$N$73,Calendario!$D$8:$D$73,$A11,Calendario!$E$8:$E$73,"Luca")+SUMIFS(Calendario!$O$8:$O$73,Calendario!$E$8:$E$73,$A11,Calendario!$D$8:$D$73,"Luca")</f>
        <v>0</v>
      </c>
      <c r="AB11" s="1">
        <f>COUNTIFS(Calendario!$M$8:$M$73,$A11,Calendario!$D$8:$D$73,"Giuseppe")+COUNTIFS(Calendario!$M$8:$M$73,$A11,Calendario!$E$8:$E$73,"Giuseppe")</f>
        <v>0</v>
      </c>
      <c r="AC11" s="1">
        <f>COUNTIFS(Calendario!$M$8:$M$73,$A11,Calendario!$D$8:$D$73,"Marco")+COUNTIFS(Calendario!$M$8:$M$73,$A11,Calendario!$E$8:$E$73,"Marco")</f>
        <v>0</v>
      </c>
      <c r="AD11" s="1">
        <f>COUNTIFS(Calendario!$M$8:$M$73,$A11,Calendario!$D$8:$D$73,"Alessandro C")+COUNTIFS(Calendario!$M$8:$M$73,$A11,Calendario!$E$8:$E$73,"Alessandro C")</f>
        <v>0</v>
      </c>
      <c r="AE11" s="1">
        <f>0</f>
        <v>0</v>
      </c>
      <c r="AF11" s="1">
        <f>COUNTIFS(Calendario!$M$8:$M$73,$A11,Calendario!$D$8:$D$73,"Francesco")+COUNTIFS(Calendario!$M$8:$M$73,$A11,Calendario!$E$8:$E$73,"Francesco")</f>
        <v>0</v>
      </c>
      <c r="AG11" s="1">
        <f>COUNTIFS(Calendario!$M$8:$M$73,$A11,Calendario!$D$8:$D$73,"Fabrizio")+COUNTIFS(Calendario!$M$8:$M$73,$A11,Calendario!$E$8:$E$73,"Fabrizio")</f>
        <v>0</v>
      </c>
      <c r="AH11" s="1">
        <f>COUNTIFS(Calendario!$M$8:$M$73,$A11,Calendario!$D$8:$D$73,"Alessio")+COUNTIFS(Calendario!$M$8:$M$73,$A11,Calendario!$E$8:$E$73,"Alessio")</f>
        <v>0</v>
      </c>
      <c r="AI11" s="1">
        <f>COUNTIFS(Calendario!$M$8:$M$73,$A11,Calendario!$D$8:$D$73,"Leonardo")+COUNTIFS(Calendario!$M$8:$M$73,$A11,Calendario!$E$8:$E$73,"Leonardo")</f>
        <v>0</v>
      </c>
      <c r="AJ11" s="1">
        <f>COUNTIFS(Calendario!$M$8:$M$73,$A11,Calendario!$D$8:$D$73,"Gennaro")+COUNTIFS(Calendario!$M$8:$M$73,$A11,Calendario!$E$8:$E$73,"Gennaro")</f>
        <v>0</v>
      </c>
      <c r="AK11" s="1">
        <f>COUNTIFS(Calendario!$M$8:$M$73,$A11,Calendario!$D$8:$D$73,"Federico")+COUNTIFS(Calendario!$M$8:$M$73,$A11,Calendario!$E$8:$E$73,"Federico")</f>
        <v>0</v>
      </c>
      <c r="AL11" s="1">
        <f>COUNTIFS(Calendario!$M$8:$M$73,$A11,Calendario!$D$8:$D$73,"Michele")+COUNTIFS(Calendario!$M$8:$M$73,$A11,Calendario!$E$8:$E$73,"Michele")</f>
        <v>0</v>
      </c>
      <c r="AM11" s="1">
        <f>COUNTIFS(Calendario!$M$8:$M$73,$A11,Calendario!$D$8:$D$73,"Luca")+COUNTIFS(Calendario!$M$8:$M$73,$A11,Calendario!$E$8:$E$73,"Luca")</f>
        <v>0</v>
      </c>
    </row>
    <row r="12" ht="24.0" customHeight="1">
      <c r="A12" s="10" t="s">
        <v>96</v>
      </c>
      <c r="B12" s="3">
        <f>SUMIFS(Calendario!$Z$8:$Z$73,Calendario!$D$8:$D$73,$A12)+SUMIFS(Calendario!$Z$8:$Z$73,Calendario!$E$8:$E$73,$A12)</f>
        <v>1</v>
      </c>
      <c r="C12" s="3">
        <f>COUNTIFS(Calendario!$M$8:$M$73,$A12)</f>
        <v>1</v>
      </c>
      <c r="D12" s="3">
        <f t="shared" si="1"/>
        <v>0</v>
      </c>
      <c r="E12" s="3">
        <f>COUNTIFS(Calendario!$D$8:$D$73,$A12,Calendario!$F$8:$F$73,"Tempo scaduto",Calendario!$Z$8:$Z$73,1)+COUNTIFS(Calendario!$E$8:$E$73,$A12,Calendario!$F$8:$F$73,"Tempo scaduto",Calendario!$Z$8:$Z$73,1)</f>
        <v>0</v>
      </c>
      <c r="F12" s="3">
        <f>SUMIFS(Calendario!$Q$8:$Q$73,Calendario!$D$8:$D$73,$A12)+SUMIFS(Calendario!$R$8:$R$73,Calendario!$E$8:$E$73,$A12)</f>
        <v>8</v>
      </c>
      <c r="G12" s="3">
        <f>SUMIFS(Calendario!$R$8:$R$73,Calendario!$D$8:$D$73,$A12)+SUMIFS(Calendario!$Q$8:$Q$73,Calendario!$E$8:$E$73,$A12)</f>
        <v>10</v>
      </c>
      <c r="H12" s="3">
        <f t="shared" si="2"/>
        <v>-2</v>
      </c>
      <c r="I12" s="3">
        <f>SUMIFS(Calendario!$S$8:$S$73,Calendario!$D$8:$D$73,$A12)+SUMIFS(Calendario!$T$8:$T$73,Calendario!$E$8:$E$73,$A12)+SUMIFS(Calendario!$AB$8:$AB$73,Calendario!$D$8:$D$73,$A12)+SUMIFS(Calendario!$AC$8:$AC$73,Calendario!$E$8:$E$73,$A12)</f>
        <v>5</v>
      </c>
      <c r="J12" s="3">
        <f t="shared" si="3"/>
        <v>13</v>
      </c>
      <c r="K12" s="3">
        <f t="shared" si="4"/>
        <v>1</v>
      </c>
      <c r="L12" s="3">
        <f t="shared" si="5"/>
        <v>0</v>
      </c>
      <c r="M12" s="3">
        <f t="shared" si="6"/>
        <v>0</v>
      </c>
      <c r="N12" s="3">
        <f t="shared" si="7"/>
        <v>6</v>
      </c>
      <c r="O12" s="3">
        <f t="shared" si="8"/>
        <v>6</v>
      </c>
      <c r="P12" s="3">
        <f>SUMIFS(Calendario!$N$8:$N$73,Calendario!$D$8:$D$73,$A12,Calendario!$E$8:$E$73,"Giuseppe")+SUMIFS(Calendario!$O$8:$O$73,Calendario!$E$8:$E$73,$A12,Calendario!$D$8:$D$73,"Giuseppe")</f>
        <v>0</v>
      </c>
      <c r="Q12" s="3">
        <f>SUMIFS(Calendario!$N$8:$N$73,Calendario!$D$8:$D$73,$A12,Calendario!$E$8:$E$73,"Marco")+SUMIFS(Calendario!$O$8:$O$73,Calendario!$E$8:$E$73,$A12,Calendario!$D$8:$D$73,"Marco")</f>
        <v>0</v>
      </c>
      <c r="R12" s="3">
        <f>SUMIFS(Calendario!$N$8:$N$73,Calendario!$D$8:$D$73,$A12,Calendario!$E$8:$E$73,"Alessandro C")+SUMIFS(Calendario!$O$8:$O$73,Calendario!$E$8:$E$73,$A12,Calendario!$D$8:$D$73,"Alessandro C")</f>
        <v>0</v>
      </c>
      <c r="S12" s="3">
        <f>SUMIFS(Calendario!$N$8:$N$73,Calendario!$D$8:$D$73,$A12,Calendario!$E$8:$E$73,"Alessandro P")+SUMIFS(Calendario!$O$8:$O$73,Calendario!$E$8:$E$73,$A12,Calendario!$D$8:$D$73,"Alessandro P")</f>
        <v>0</v>
      </c>
      <c r="T12" s="3">
        <f>SUMIFS(Calendario!$N$8:$N$73,Calendario!$D$8:$D$73,$A12,Calendario!$E$8:$E$73,"Francesco")+SUMIFS(Calendario!$O$8:$O$73,Calendario!$E$8:$E$73,$A12,Calendario!$D$8:$D$73,"Francesco")</f>
        <v>0</v>
      </c>
      <c r="U12" s="3">
        <f>SUMIFS(Calendario!$N$8:$N$73,Calendario!$D$8:$D$73,$A12,Calendario!$E$8:$E$73,"Fabrizio")+SUMIFS(Calendario!$O$8:$O$73,Calendario!$E$8:$E$73,$A12,Calendario!$D$8:$D$73,"Fabrizio")</f>
        <v>0</v>
      </c>
      <c r="V12" s="3">
        <f>SUMIFS(Calendario!$N$8:$N$73,Calendario!$D$8:$D$73,$A12,Calendario!$E$8:$E$73,"Alessio")+SUMIFS(Calendario!$O$8:$O$73,Calendario!$E$8:$E$73,$A12,Calendario!$D$8:$D$73,"Alessio")</f>
        <v>0</v>
      </c>
      <c r="W12" s="3">
        <f>SUMIFS(Calendario!$N$8:$N$73,Calendario!$D$8:$D$73,$A12,Calendario!$E$8:$E$73,"Leonardo")+SUMIFS(Calendario!$O$8:$O$73,Calendario!$E$8:$E$73,$A12,Calendario!$D$8:$D$73,"Leonardo")</f>
        <v>0</v>
      </c>
      <c r="X12" s="3">
        <f>SUMIFS(Calendario!$N$8:$N$73,Calendario!$D$8:$D$73,$A12,Calendario!$E$8:$E$73,"Gennaro")+SUMIFS(Calendario!$O$8:$O$73,Calendario!$E$8:$E$73,$A12,Calendario!$D$8:$D$73,"Gennaro")</f>
        <v>0</v>
      </c>
      <c r="Y12" s="3">
        <f>SUMIFS(Calendario!$N$8:$N$73,Calendario!$D$8:$D$73,$A12,Calendario!$E$8:$E$73,"Federico")+SUMIFS(Calendario!$O$8:$O$73,Calendario!$E$8:$E$73,$A12,Calendario!$D$8:$D$73,"Federico")</f>
        <v>0</v>
      </c>
      <c r="Z12" s="3">
        <f>SUMIFS(Calendario!$N$8:$N$73,Calendario!$D$8:$D$73,$A12,Calendario!$E$8:$E$73,"Michele")+SUMIFS(Calendario!$O$8:$O$73,Calendario!$E$8:$E$73,$A12,Calendario!$D$8:$D$73,"Michele")</f>
        <v>0</v>
      </c>
      <c r="AA12" s="3">
        <f>SUMIFS(Calendario!$N$8:$N$73,Calendario!$D$8:$D$73,$A12,Calendario!$E$8:$E$73,"Luca")+SUMIFS(Calendario!$O$8:$O$73,Calendario!$E$8:$E$73,$A12,Calendario!$D$8:$D$73,"Luca")</f>
        <v>0</v>
      </c>
      <c r="AB12" s="3">
        <f>COUNTIFS(Calendario!$M$8:$M$73,$A12,Calendario!$D$8:$D$73,"Giuseppe")+COUNTIFS(Calendario!$M$8:$M$73,$A12,Calendario!$E$8:$E$73,"Giuseppe")</f>
        <v>0</v>
      </c>
      <c r="AC12" s="3">
        <f>COUNTIFS(Calendario!$M$8:$M$73,$A12,Calendario!$D$8:$D$73,"Marco")+COUNTIFS(Calendario!$M$8:$M$73,$A12,Calendario!$E$8:$E$73,"Marco")</f>
        <v>0</v>
      </c>
      <c r="AD12" s="3">
        <f>COUNTIFS(Calendario!$M$8:$M$73,$A12,Calendario!$D$8:$D$73,"Alessandro C")+COUNTIFS(Calendario!$M$8:$M$73,$A12,Calendario!$E$8:$E$73,"Alessandro C")</f>
        <v>0</v>
      </c>
      <c r="AE12" s="3">
        <f>COUNTIFS(Calendario!$M$8:$M$73,$A12,Calendario!$D$8:$D$73,"Alessandro P")+COUNTIFS(Calendario!$M$8:$M$73,$A12,Calendario!$E$8:$E$73,"Alessandro P")</f>
        <v>0</v>
      </c>
      <c r="AF12" s="3">
        <f>0</f>
        <v>0</v>
      </c>
      <c r="AG12" s="3">
        <f>COUNTIFS(Calendario!$M$8:$M$73,$A12,Calendario!$D$8:$D$73,"Fabrizio")+COUNTIFS(Calendario!$M$8:$M$73,$A12,Calendario!$E$8:$E$73,"Fabrizio")</f>
        <v>0</v>
      </c>
      <c r="AH12" s="3">
        <f>COUNTIFS(Calendario!$M$8:$M$73,$A12,Calendario!$D$8:$D$73,"Alessio")+COUNTIFS(Calendario!$M$8:$M$73,$A12,Calendario!$E$8:$E$73,"Alessio")</f>
        <v>0</v>
      </c>
      <c r="AI12" s="3">
        <f>COUNTIFS(Calendario!$M$8:$M$73,$A12,Calendario!$D$8:$D$73,"Leonardo")+COUNTIFS(Calendario!$M$8:$M$73,$A12,Calendario!$E$8:$E$73,"Leonardo")</f>
        <v>0</v>
      </c>
      <c r="AJ12" s="3">
        <f>COUNTIFS(Calendario!$M$8:$M$73,$A12,Calendario!$D$8:$D$73,"Gennaro")+COUNTIFS(Calendario!$M$8:$M$73,$A12,Calendario!$E$8:$E$73,"Gennaro")</f>
        <v>0</v>
      </c>
      <c r="AK12" s="3">
        <f>COUNTIFS(Calendario!$M$8:$M$73,$A12,Calendario!$D$8:$D$73,"Federico")+COUNTIFS(Calendario!$M$8:$M$73,$A12,Calendario!$E$8:$E$73,"Federico")</f>
        <v>0</v>
      </c>
      <c r="AL12" s="3">
        <f>COUNTIFS(Calendario!$M$8:$M$73,$A12,Calendario!$D$8:$D$73,"Michele")+COUNTIFS(Calendario!$M$8:$M$73,$A12,Calendario!$E$8:$E$73,"Michele")</f>
        <v>0</v>
      </c>
      <c r="AM12" s="3">
        <f>COUNTIFS(Calendario!$M$8:$M$73,$A12,Calendario!$D$8:$D$73,"Luca")+COUNTIFS(Calendario!$M$8:$M$73,$A12,Calendario!$E$8:$E$73,"Luca")</f>
        <v>0</v>
      </c>
    </row>
    <row r="13" ht="24.0" customHeight="1">
      <c r="A13" s="28" t="s">
        <v>99</v>
      </c>
      <c r="B13" s="1">
        <f>SUMIFS(Calendario!$Z$8:$Z$73,Calendario!$D$8:$D$73,$A13)+SUMIFS(Calendario!$Z$8:$Z$73,Calendario!$E$8:$E$73,$A13)</f>
        <v>1</v>
      </c>
      <c r="C13" s="1">
        <f>COUNTIFS(Calendario!$M$8:$M$73,$A13)</f>
        <v>0</v>
      </c>
      <c r="D13" s="1">
        <f t="shared" si="1"/>
        <v>1</v>
      </c>
      <c r="E13" s="1">
        <f>COUNTIFS(Calendario!$D$8:$D$73,$A13,Calendario!$F$8:$F$73,"Tempo scaduto",Calendario!$Z$8:$Z$73,1)+COUNTIFS(Calendario!$E$8:$E$73,$A13,Calendario!$F$8:$F$73,"Tempo scaduto",Calendario!$Z$8:$Z$73,1)</f>
        <v>0</v>
      </c>
      <c r="F13" s="1">
        <f>SUMIFS(Calendario!$Q$8:$Q$73,Calendario!$D$8:$D$73,$A13)+SUMIFS(Calendario!$R$8:$R$73,Calendario!$E$8:$E$73,$A13)</f>
        <v>6</v>
      </c>
      <c r="G13" s="1">
        <f>SUMIFS(Calendario!$R$8:$R$73,Calendario!$D$8:$D$73,$A13)+SUMIFS(Calendario!$Q$8:$Q$73,Calendario!$E$8:$E$73,$A13)</f>
        <v>12</v>
      </c>
      <c r="H13" s="1">
        <f t="shared" si="2"/>
        <v>-6</v>
      </c>
      <c r="I13" s="1">
        <f>SUMIFS(Calendario!$S$8:$S$73,Calendario!$D$8:$D$73,$A13)+SUMIFS(Calendario!$T$8:$T$73,Calendario!$E$8:$E$73,$A13)+SUMIFS(Calendario!$AB$8:$AB$73,Calendario!$D$8:$D$73,$A13)+SUMIFS(Calendario!$AC$8:$AC$73,Calendario!$E$8:$E$73,$A13)</f>
        <v>0</v>
      </c>
      <c r="J13" s="1">
        <f t="shared" si="3"/>
        <v>6</v>
      </c>
      <c r="K13" s="1">
        <f t="shared" si="4"/>
        <v>2</v>
      </c>
      <c r="L13" s="1">
        <f t="shared" si="5"/>
        <v>0</v>
      </c>
      <c r="M13" s="1">
        <f t="shared" si="6"/>
        <v>0</v>
      </c>
      <c r="N13" s="1">
        <f t="shared" si="7"/>
        <v>8</v>
      </c>
      <c r="O13" s="1">
        <f t="shared" si="8"/>
        <v>8</v>
      </c>
      <c r="P13" s="1">
        <f>SUMIFS(Calendario!$N$8:$N$73,Calendario!$D$8:$D$73,$A13,Calendario!$E$8:$E$73,"Giuseppe")+SUMIFS(Calendario!$O$8:$O$73,Calendario!$E$8:$E$73,$A13,Calendario!$D$8:$D$73,"Giuseppe")</f>
        <v>0</v>
      </c>
      <c r="Q13" s="1">
        <f>SUMIFS(Calendario!$N$8:$N$73,Calendario!$D$8:$D$73,$A13,Calendario!$E$8:$E$73,"Marco")+SUMIFS(Calendario!$O$8:$O$73,Calendario!$E$8:$E$73,$A13,Calendario!$D$8:$D$73,"Marco")</f>
        <v>0</v>
      </c>
      <c r="R13" s="1">
        <f>SUMIFS(Calendario!$N$8:$N$73,Calendario!$D$8:$D$73,$A13,Calendario!$E$8:$E$73,"Alessandro C")+SUMIFS(Calendario!$O$8:$O$73,Calendario!$E$8:$E$73,$A13,Calendario!$D$8:$D$73,"Alessandro C")</f>
        <v>0</v>
      </c>
      <c r="S13" s="1">
        <f>SUMIFS(Calendario!$N$8:$N$73,Calendario!$D$8:$D$73,$A13,Calendario!$E$8:$E$73,"Alessandro P")+SUMIFS(Calendario!$O$8:$O$73,Calendario!$E$8:$E$73,$A13,Calendario!$D$8:$D$73,"Alessandro P")</f>
        <v>0</v>
      </c>
      <c r="T13" s="1">
        <f>SUMIFS(Calendario!$N$8:$N$73,Calendario!$D$8:$D$73,$A13,Calendario!$E$8:$E$73,"Francesco")+SUMIFS(Calendario!$O$8:$O$73,Calendario!$E$8:$E$73,$A13,Calendario!$D$8:$D$73,"Francesco")</f>
        <v>0</v>
      </c>
      <c r="U13" s="1">
        <f>SUMIFS(Calendario!$N$8:$N$73,Calendario!$D$8:$D$73,$A13,Calendario!$E$8:$E$73,"Fabrizio")+SUMIFS(Calendario!$O$8:$O$73,Calendario!$E$8:$E$73,$A13,Calendario!$D$8:$D$73,"Fabrizio")</f>
        <v>0</v>
      </c>
      <c r="V13" s="1">
        <f>SUMIFS(Calendario!$N$8:$N$73,Calendario!$D$8:$D$73,$A13,Calendario!$E$8:$E$73,"Alessio")+SUMIFS(Calendario!$O$8:$O$73,Calendario!$E$8:$E$73,$A13,Calendario!$D$8:$D$73,"Alessio")</f>
        <v>0</v>
      </c>
      <c r="W13" s="1">
        <f>SUMIFS(Calendario!$N$8:$N$73,Calendario!$D$8:$D$73,$A13,Calendario!$E$8:$E$73,"Leonardo")+SUMIFS(Calendario!$O$8:$O$73,Calendario!$E$8:$E$73,$A13,Calendario!$D$8:$D$73,"Leonardo")</f>
        <v>0</v>
      </c>
      <c r="X13" s="1">
        <f>SUMIFS(Calendario!$N$8:$N$73,Calendario!$D$8:$D$73,$A13,Calendario!$E$8:$E$73,"Gennaro")+SUMIFS(Calendario!$O$8:$O$73,Calendario!$E$8:$E$73,$A13,Calendario!$D$8:$D$73,"Gennaro")</f>
        <v>0</v>
      </c>
      <c r="Y13" s="1">
        <f>SUMIFS(Calendario!$N$8:$N$73,Calendario!$D$8:$D$73,$A13,Calendario!$E$8:$E$73,"Federico")+SUMIFS(Calendario!$O$8:$O$73,Calendario!$E$8:$E$73,$A13,Calendario!$D$8:$D$73,"Federico")</f>
        <v>0</v>
      </c>
      <c r="Z13" s="1">
        <f>SUMIFS(Calendario!$N$8:$N$73,Calendario!$D$8:$D$73,$A13,Calendario!$E$8:$E$73,"Michele")+SUMIFS(Calendario!$O$8:$O$73,Calendario!$E$8:$E$73,$A13,Calendario!$D$8:$D$73,"Michele")</f>
        <v>0</v>
      </c>
      <c r="AA13" s="1">
        <f>SUMIFS(Calendario!$N$8:$N$73,Calendario!$D$8:$D$73,$A13,Calendario!$E$8:$E$73,"Luca")+SUMIFS(Calendario!$O$8:$O$73,Calendario!$E$8:$E$73,$A13,Calendario!$D$8:$D$73,"Luca")</f>
        <v>0</v>
      </c>
      <c r="AB13" s="1">
        <f>COUNTIFS(Calendario!$M$8:$M$73,$A13,Calendario!$D$8:$D$73,"Giuseppe")+COUNTIFS(Calendario!$M$8:$M$73,$A13,Calendario!$E$8:$E$73,"Giuseppe")</f>
        <v>0</v>
      </c>
      <c r="AC13" s="1">
        <f>COUNTIFS(Calendario!$M$8:$M$73,$A13,Calendario!$D$8:$D$73,"Marco")+COUNTIFS(Calendario!$M$8:$M$73,$A13,Calendario!$E$8:$E$73,"Marco")</f>
        <v>0</v>
      </c>
      <c r="AD13" s="1">
        <f>COUNTIFS(Calendario!$M$8:$M$73,$A13,Calendario!$D$8:$D$73,"Alessandro C")+COUNTIFS(Calendario!$M$8:$M$73,$A13,Calendario!$E$8:$E$73,"Alessandro C")</f>
        <v>0</v>
      </c>
      <c r="AE13" s="1">
        <f>COUNTIFS(Calendario!$M$8:$M$73,$A13,Calendario!$D$8:$D$73,"Alessandro P")+COUNTIFS(Calendario!$M$8:$M$73,$A13,Calendario!$E$8:$E$73,"Alessandro P")</f>
        <v>0</v>
      </c>
      <c r="AF13" s="1">
        <f>COUNTIFS(Calendario!$M$8:$M$73,$A13,Calendario!$D$8:$D$73,"Francesco")+COUNTIFS(Calendario!$M$8:$M$73,$A13,Calendario!$E$8:$E$73,"Francesco")</f>
        <v>0</v>
      </c>
      <c r="AG13" s="1">
        <f>0</f>
        <v>0</v>
      </c>
      <c r="AH13" s="1">
        <f>COUNTIFS(Calendario!$M$8:$M$73,$A13,Calendario!$D$8:$D$73,"Alessio")+COUNTIFS(Calendario!$M$8:$M$73,$A13,Calendario!$E$8:$E$73,"Alessio")</f>
        <v>0</v>
      </c>
      <c r="AI13" s="1">
        <f>COUNTIFS(Calendario!$M$8:$M$73,$A13,Calendario!$D$8:$D$73,"Leonardo")+COUNTIFS(Calendario!$M$8:$M$73,$A13,Calendario!$E$8:$E$73,"Leonardo")</f>
        <v>0</v>
      </c>
      <c r="AJ13" s="1">
        <f>COUNTIFS(Calendario!$M$8:$M$73,$A13,Calendario!$D$8:$D$73,"Gennaro")+COUNTIFS(Calendario!$M$8:$M$73,$A13,Calendario!$E$8:$E$73,"Gennaro")</f>
        <v>0</v>
      </c>
      <c r="AK13" s="1">
        <f>COUNTIFS(Calendario!$M$8:$M$73,$A13,Calendario!$D$8:$D$73,"Federico")+COUNTIFS(Calendario!$M$8:$M$73,$A13,Calendario!$E$8:$E$73,"Federico")</f>
        <v>0</v>
      </c>
      <c r="AL13" s="1">
        <f>COUNTIFS(Calendario!$M$8:$M$73,$A13,Calendario!$D$8:$D$73,"Michele")+COUNTIFS(Calendario!$M$8:$M$73,$A13,Calendario!$E$8:$E$73,"Michele")</f>
        <v>0</v>
      </c>
      <c r="AM13" s="1">
        <f>COUNTIFS(Calendario!$M$8:$M$73,$A13,Calendario!$D$8:$D$73,"Luca")+COUNTIFS(Calendario!$M$8:$M$73,$A13,Calendario!$E$8:$E$73,"Luca")</f>
        <v>0</v>
      </c>
    </row>
    <row r="14" ht="24.0" customHeight="1">
      <c r="A14" s="10" t="s">
        <v>100</v>
      </c>
      <c r="B14" s="3">
        <f>SUMIFS(Calendario!$Z$8:$Z$73,Calendario!$D$8:$D$73,$A14)+SUMIFS(Calendario!$Z$8:$Z$73,Calendario!$E$8:$E$73,$A14)</f>
        <v>2</v>
      </c>
      <c r="C14" s="3">
        <f>COUNTIFS(Calendario!$M$8:$M$73,$A14)</f>
        <v>2</v>
      </c>
      <c r="D14" s="3">
        <f t="shared" si="1"/>
        <v>0</v>
      </c>
      <c r="E14" s="3">
        <f>COUNTIFS(Calendario!$D$8:$D$73,$A14,Calendario!$F$8:$F$73,"Tempo scaduto",Calendario!$Z$8:$Z$73,1)+COUNTIFS(Calendario!$E$8:$E$73,$A14,Calendario!$F$8:$F$73,"Tempo scaduto",Calendario!$Z$8:$Z$73,1)</f>
        <v>0</v>
      </c>
      <c r="F14" s="3">
        <f>SUMIFS(Calendario!$Q$8:$Q$73,Calendario!$D$8:$D$73,$A14)+SUMIFS(Calendario!$R$8:$R$73,Calendario!$E$8:$E$73,$A14)</f>
        <v>21</v>
      </c>
      <c r="G14" s="3">
        <f>SUMIFS(Calendario!$R$8:$R$73,Calendario!$D$8:$D$73,$A14)+SUMIFS(Calendario!$Q$8:$Q$73,Calendario!$E$8:$E$73,$A14)</f>
        <v>16</v>
      </c>
      <c r="H14" s="3">
        <f t="shared" si="2"/>
        <v>5</v>
      </c>
      <c r="I14" s="3">
        <f>SUMIFS(Calendario!$S$8:$S$73,Calendario!$D$8:$D$73,$A14)+SUMIFS(Calendario!$T$8:$T$73,Calendario!$E$8:$E$73,$A14)+SUMIFS(Calendario!$AB$8:$AB$73,Calendario!$D$8:$D$73,$A14)+SUMIFS(Calendario!$AC$8:$AC$73,Calendario!$E$8:$E$73,$A14)</f>
        <v>7</v>
      </c>
      <c r="J14" s="3">
        <f t="shared" si="3"/>
        <v>28</v>
      </c>
      <c r="K14" s="3">
        <f t="shared" si="4"/>
        <v>1</v>
      </c>
      <c r="L14" s="3">
        <f t="shared" si="5"/>
        <v>0</v>
      </c>
      <c r="M14" s="3">
        <f t="shared" si="6"/>
        <v>0</v>
      </c>
      <c r="N14" s="3">
        <f t="shared" si="7"/>
        <v>2</v>
      </c>
      <c r="O14" s="3">
        <f t="shared" si="8"/>
        <v>2</v>
      </c>
      <c r="P14" s="3">
        <f>SUMIFS(Calendario!$N$8:$N$73,Calendario!$D$8:$D$73,$A14,Calendario!$E$8:$E$73,"Giuseppe")+SUMIFS(Calendario!$O$8:$O$73,Calendario!$E$8:$E$73,$A14,Calendario!$D$8:$D$73,"Giuseppe")</f>
        <v>0</v>
      </c>
      <c r="Q14" s="3">
        <f>SUMIFS(Calendario!$N$8:$N$73,Calendario!$D$8:$D$73,$A14,Calendario!$E$8:$E$73,"Marco")+SUMIFS(Calendario!$O$8:$O$73,Calendario!$E$8:$E$73,$A14,Calendario!$D$8:$D$73,"Marco")</f>
        <v>0</v>
      </c>
      <c r="R14" s="3">
        <f>SUMIFS(Calendario!$N$8:$N$73,Calendario!$D$8:$D$73,$A14,Calendario!$E$8:$E$73,"Alessandro C")+SUMIFS(Calendario!$O$8:$O$73,Calendario!$E$8:$E$73,$A14,Calendario!$D$8:$D$73,"Alessandro C")</f>
        <v>0</v>
      </c>
      <c r="S14" s="3">
        <f>SUMIFS(Calendario!$N$8:$N$73,Calendario!$D$8:$D$73,$A14,Calendario!$E$8:$E$73,"Alessandro P")+SUMIFS(Calendario!$O$8:$O$73,Calendario!$E$8:$E$73,$A14,Calendario!$D$8:$D$73,"Alessandro P")</f>
        <v>0</v>
      </c>
      <c r="T14" s="3">
        <f>SUMIFS(Calendario!$N$8:$N$73,Calendario!$D$8:$D$73,$A14,Calendario!$E$8:$E$73,"Francesco")+SUMIFS(Calendario!$O$8:$O$73,Calendario!$E$8:$E$73,$A14,Calendario!$D$8:$D$73,"Francesco")</f>
        <v>0</v>
      </c>
      <c r="U14" s="3">
        <f>SUMIFS(Calendario!$N$8:$N$73,Calendario!$D$8:$D$73,$A14,Calendario!$E$8:$E$73,"Fabrizio")+SUMIFS(Calendario!$O$8:$O$73,Calendario!$E$8:$E$73,$A14,Calendario!$D$8:$D$73,"Fabrizio")</f>
        <v>0</v>
      </c>
      <c r="V14" s="3">
        <f>SUMIFS(Calendario!$N$8:$N$73,Calendario!$D$8:$D$73,$A14,Calendario!$E$8:$E$73,"Alessio")+SUMIFS(Calendario!$O$8:$O$73,Calendario!$E$8:$E$73,$A14,Calendario!$D$8:$D$73,"Alessio")</f>
        <v>0</v>
      </c>
      <c r="W14" s="3">
        <f>SUMIFS(Calendario!$N$8:$N$73,Calendario!$D$8:$D$73,$A14,Calendario!$E$8:$E$73,"Leonardo")+SUMIFS(Calendario!$O$8:$O$73,Calendario!$E$8:$E$73,$A14,Calendario!$D$8:$D$73,"Leonardo")</f>
        <v>0</v>
      </c>
      <c r="X14" s="3">
        <f>SUMIFS(Calendario!$N$8:$N$73,Calendario!$D$8:$D$73,$A14,Calendario!$E$8:$E$73,"Gennaro")+SUMIFS(Calendario!$O$8:$O$73,Calendario!$E$8:$E$73,$A14,Calendario!$D$8:$D$73,"Gennaro")</f>
        <v>0</v>
      </c>
      <c r="Y14" s="3">
        <f>SUMIFS(Calendario!$N$8:$N$73,Calendario!$D$8:$D$73,$A14,Calendario!$E$8:$E$73,"Federico")+SUMIFS(Calendario!$O$8:$O$73,Calendario!$E$8:$E$73,$A14,Calendario!$D$8:$D$73,"Federico")</f>
        <v>0</v>
      </c>
      <c r="Z14" s="3">
        <f>SUMIFS(Calendario!$N$8:$N$73,Calendario!$D$8:$D$73,$A14,Calendario!$E$8:$E$73,"Michele")+SUMIFS(Calendario!$O$8:$O$73,Calendario!$E$8:$E$73,$A14,Calendario!$D$8:$D$73,"Michele")</f>
        <v>0</v>
      </c>
      <c r="AA14" s="3">
        <f>SUMIFS(Calendario!$N$8:$N$73,Calendario!$D$8:$D$73,$A14,Calendario!$E$8:$E$73,"Luca")+SUMIFS(Calendario!$O$8:$O$73,Calendario!$E$8:$E$73,$A14,Calendario!$D$8:$D$73,"Luca")</f>
        <v>0</v>
      </c>
      <c r="AB14" s="3">
        <f>COUNTIFS(Calendario!$M$8:$M$73,$A14,Calendario!$D$8:$D$73,"Giuseppe")+COUNTIFS(Calendario!$M$8:$M$73,$A14,Calendario!$E$8:$E$73,"Giuseppe")</f>
        <v>0</v>
      </c>
      <c r="AC14" s="3">
        <f>COUNTIFS(Calendario!$M$8:$M$73,$A14,Calendario!$D$8:$D$73,"Marco")+COUNTIFS(Calendario!$M$8:$M$73,$A14,Calendario!$E$8:$E$73,"Marco")</f>
        <v>0</v>
      </c>
      <c r="AD14" s="3">
        <f>COUNTIFS(Calendario!$M$8:$M$73,$A14,Calendario!$D$8:$D$73,"Alessandro C")+COUNTIFS(Calendario!$M$8:$M$73,$A14,Calendario!$E$8:$E$73,"Alessandro C")</f>
        <v>0</v>
      </c>
      <c r="AE14" s="3">
        <f>COUNTIFS(Calendario!$M$8:$M$73,$A14,Calendario!$D$8:$D$73,"Alessandro P")+COUNTIFS(Calendario!$M$8:$M$73,$A14,Calendario!$E$8:$E$73,"Alessandro P")</f>
        <v>0</v>
      </c>
      <c r="AF14" s="3">
        <f>COUNTIFS(Calendario!$M$8:$M$73,$A14,Calendario!$D$8:$D$73,"Francesco")+COUNTIFS(Calendario!$M$8:$M$73,$A14,Calendario!$E$8:$E$73,"Francesco")</f>
        <v>0</v>
      </c>
      <c r="AG14" s="3">
        <f>COUNTIFS(Calendario!$M$8:$M$73,$A14,Calendario!$D$8:$D$73,"Fabrizio")+COUNTIFS(Calendario!$M$8:$M$73,$A14,Calendario!$E$8:$E$73,"Fabrizio")</f>
        <v>0</v>
      </c>
      <c r="AH14" s="3">
        <f>0</f>
        <v>0</v>
      </c>
      <c r="AI14" s="3">
        <f>COUNTIFS(Calendario!$M$8:$M$73,$A14,Calendario!$D$8:$D$73,"Leonardo")+COUNTIFS(Calendario!$M$8:$M$73,$A14,Calendario!$E$8:$E$73,"Leonardo")</f>
        <v>0</v>
      </c>
      <c r="AJ14" s="3">
        <f>COUNTIFS(Calendario!$M$8:$M$73,$A14,Calendario!$D$8:$D$73,"Gennaro")+COUNTIFS(Calendario!$M$8:$M$73,$A14,Calendario!$E$8:$E$73,"Gennaro")</f>
        <v>0</v>
      </c>
      <c r="AK14" s="3">
        <f>COUNTIFS(Calendario!$M$8:$M$73,$A14,Calendario!$D$8:$D$73,"Federico")+COUNTIFS(Calendario!$M$8:$M$73,$A14,Calendario!$E$8:$E$73,"Federico")</f>
        <v>0</v>
      </c>
      <c r="AL14" s="3">
        <f>COUNTIFS(Calendario!$M$8:$M$73,$A14,Calendario!$D$8:$D$73,"Michele")+COUNTIFS(Calendario!$M$8:$M$73,$A14,Calendario!$E$8:$E$73,"Michele")</f>
        <v>0</v>
      </c>
      <c r="AM14" s="3">
        <f>COUNTIFS(Calendario!$M$8:$M$73,$A14,Calendario!$D$8:$D$73,"Luca")+COUNTIFS(Calendario!$M$8:$M$73,$A14,Calendario!$E$8:$E$73,"Luca")</f>
        <v>0</v>
      </c>
    </row>
    <row r="15" ht="24.0" customHeight="1">
      <c r="A15" s="28" t="s">
        <v>97</v>
      </c>
      <c r="B15" s="1">
        <f>SUMIFS(Calendario!$Z$8:$Z$73,Calendario!$D$8:$D$73,$A15)+SUMIFS(Calendario!$Z$8:$Z$73,Calendario!$E$8:$E$73,$A15)</f>
        <v>1</v>
      </c>
      <c r="C15" s="1">
        <f>COUNTIFS(Calendario!$M$8:$M$73,$A15)</f>
        <v>0</v>
      </c>
      <c r="D15" s="1">
        <f t="shared" si="1"/>
        <v>1</v>
      </c>
      <c r="E15" s="1">
        <f>COUNTIFS(Calendario!$D$8:$D$73,$A15,Calendario!$F$8:$F$73,"Tempo scaduto",Calendario!$Z$8:$Z$73,1)+COUNTIFS(Calendario!$E$8:$E$73,$A15,Calendario!$F$8:$F$73,"Tempo scaduto",Calendario!$Z$8:$Z$73,1)</f>
        <v>0</v>
      </c>
      <c r="F15" s="1">
        <f>SUMIFS(Calendario!$Q$8:$Q$73,Calendario!$D$8:$D$73,$A15)+SUMIFS(Calendario!$R$8:$R$73,Calendario!$E$8:$E$73,$A15)</f>
        <v>10</v>
      </c>
      <c r="G15" s="1">
        <f>SUMIFS(Calendario!$R$8:$R$73,Calendario!$D$8:$D$73,$A15)+SUMIFS(Calendario!$Q$8:$Q$73,Calendario!$E$8:$E$73,$A15)</f>
        <v>8</v>
      </c>
      <c r="H15" s="1">
        <f t="shared" si="2"/>
        <v>2</v>
      </c>
      <c r="I15" s="1">
        <f>SUMIFS(Calendario!$S$8:$S$73,Calendario!$D$8:$D$73,$A15)+SUMIFS(Calendario!$T$8:$T$73,Calendario!$E$8:$E$73,$A15)+SUMIFS(Calendario!$AB$8:$AB$73,Calendario!$D$8:$D$73,$A15)+SUMIFS(Calendario!$AC$8:$AC$73,Calendario!$E$8:$E$73,$A15)</f>
        <v>0</v>
      </c>
      <c r="J15" s="1">
        <f t="shared" si="3"/>
        <v>10</v>
      </c>
      <c r="K15" s="1">
        <f t="shared" si="4"/>
        <v>1</v>
      </c>
      <c r="L15" s="1">
        <f t="shared" si="5"/>
        <v>0</v>
      </c>
      <c r="M15" s="1">
        <f t="shared" si="6"/>
        <v>0</v>
      </c>
      <c r="N15" s="1">
        <f t="shared" si="7"/>
        <v>7</v>
      </c>
      <c r="O15" s="1">
        <f t="shared" si="8"/>
        <v>7</v>
      </c>
      <c r="P15" s="1">
        <f>SUMIFS(Calendario!$N$8:$N$73,Calendario!$D$8:$D$73,$A15,Calendario!$E$8:$E$73,"Giuseppe")+SUMIFS(Calendario!$O$8:$O$73,Calendario!$E$8:$E$73,$A15,Calendario!$D$8:$D$73,"Giuseppe")</f>
        <v>0</v>
      </c>
      <c r="Q15" s="1">
        <f>SUMIFS(Calendario!$N$8:$N$73,Calendario!$D$8:$D$73,$A15,Calendario!$E$8:$E$73,"Marco")+SUMIFS(Calendario!$O$8:$O$73,Calendario!$E$8:$E$73,$A15,Calendario!$D$8:$D$73,"Marco")</f>
        <v>0</v>
      </c>
      <c r="R15" s="1">
        <f>SUMIFS(Calendario!$N$8:$N$73,Calendario!$D$8:$D$73,$A15,Calendario!$E$8:$E$73,"Alessandro C")+SUMIFS(Calendario!$O$8:$O$73,Calendario!$E$8:$E$73,$A15,Calendario!$D$8:$D$73,"Alessandro C")</f>
        <v>0</v>
      </c>
      <c r="S15" s="1">
        <f>SUMIFS(Calendario!$N$8:$N$73,Calendario!$D$8:$D$73,$A15,Calendario!$E$8:$E$73,"Alessandro P")+SUMIFS(Calendario!$O$8:$O$73,Calendario!$E$8:$E$73,$A15,Calendario!$D$8:$D$73,"Alessandro P")</f>
        <v>0</v>
      </c>
      <c r="T15" s="1">
        <f>SUMIFS(Calendario!$N$8:$N$73,Calendario!$D$8:$D$73,$A15,Calendario!$E$8:$E$73,"Francesco")+SUMIFS(Calendario!$O$8:$O$73,Calendario!$E$8:$E$73,$A15,Calendario!$D$8:$D$73,"Francesco")</f>
        <v>0</v>
      </c>
      <c r="U15" s="1">
        <f>SUMIFS(Calendario!$N$8:$N$73,Calendario!$D$8:$D$73,$A15,Calendario!$E$8:$E$73,"Fabrizio")+SUMIFS(Calendario!$O$8:$O$73,Calendario!$E$8:$E$73,$A15,Calendario!$D$8:$D$73,"Fabrizio")</f>
        <v>0</v>
      </c>
      <c r="V15" s="1">
        <f>SUMIFS(Calendario!$N$8:$N$73,Calendario!$D$8:$D$73,$A15,Calendario!$E$8:$E$73,"Alessio")+SUMIFS(Calendario!$O$8:$O$73,Calendario!$E$8:$E$73,$A15,Calendario!$D$8:$D$73,"Alessio")</f>
        <v>0</v>
      </c>
      <c r="W15" s="1">
        <f>SUMIFS(Calendario!$N$8:$N$73,Calendario!$D$8:$D$73,$A15,Calendario!$E$8:$E$73,"Leonardo")+SUMIFS(Calendario!$O$8:$O$73,Calendario!$E$8:$E$73,$A15,Calendario!$D$8:$D$73,"Leonardo")</f>
        <v>0</v>
      </c>
      <c r="X15" s="1">
        <f>SUMIFS(Calendario!$N$8:$N$73,Calendario!$D$8:$D$73,$A15,Calendario!$E$8:$E$73,"Gennaro")+SUMIFS(Calendario!$O$8:$O$73,Calendario!$E$8:$E$73,$A15,Calendario!$D$8:$D$73,"Gennaro")</f>
        <v>0</v>
      </c>
      <c r="Y15" s="1">
        <f>SUMIFS(Calendario!$N$8:$N$73,Calendario!$D$8:$D$73,$A15,Calendario!$E$8:$E$73,"Federico")+SUMIFS(Calendario!$O$8:$O$73,Calendario!$E$8:$E$73,$A15,Calendario!$D$8:$D$73,"Federico")</f>
        <v>0</v>
      </c>
      <c r="Z15" s="1">
        <f>SUMIFS(Calendario!$N$8:$N$73,Calendario!$D$8:$D$73,$A15,Calendario!$E$8:$E$73,"Michele")+SUMIFS(Calendario!$O$8:$O$73,Calendario!$E$8:$E$73,$A15,Calendario!$D$8:$D$73,"Michele")</f>
        <v>0</v>
      </c>
      <c r="AA15" s="1">
        <f>SUMIFS(Calendario!$N$8:$N$73,Calendario!$D$8:$D$73,$A15,Calendario!$E$8:$E$73,"Luca")+SUMIFS(Calendario!$O$8:$O$73,Calendario!$E$8:$E$73,$A15,Calendario!$D$8:$D$73,"Luca")</f>
        <v>0</v>
      </c>
      <c r="AB15" s="1">
        <f>COUNTIFS(Calendario!$M$8:$M$73,$A15,Calendario!$D$8:$D$73,"Giuseppe")+COUNTIFS(Calendario!$M$8:$M$73,$A15,Calendario!$E$8:$E$73,"Giuseppe")</f>
        <v>0</v>
      </c>
      <c r="AC15" s="1">
        <f>COUNTIFS(Calendario!$M$8:$M$73,$A15,Calendario!$D$8:$D$73,"Marco")+COUNTIFS(Calendario!$M$8:$M$73,$A15,Calendario!$E$8:$E$73,"Marco")</f>
        <v>0</v>
      </c>
      <c r="AD15" s="1">
        <f>COUNTIFS(Calendario!$M$8:$M$73,$A15,Calendario!$D$8:$D$73,"Alessandro C")+COUNTIFS(Calendario!$M$8:$M$73,$A15,Calendario!$E$8:$E$73,"Alessandro C")</f>
        <v>0</v>
      </c>
      <c r="AE15" s="1">
        <f>COUNTIFS(Calendario!$M$8:$M$73,$A15,Calendario!$D$8:$D$73,"Alessandro P")+COUNTIFS(Calendario!$M$8:$M$73,$A15,Calendario!$E$8:$E$73,"Alessandro P")</f>
        <v>0</v>
      </c>
      <c r="AF15" s="1">
        <f>COUNTIFS(Calendario!$M$8:$M$73,$A15,Calendario!$D$8:$D$73,"Francesco")+COUNTIFS(Calendario!$M$8:$M$73,$A15,Calendario!$E$8:$E$73,"Francesco")</f>
        <v>0</v>
      </c>
      <c r="AG15" s="1">
        <f>COUNTIFS(Calendario!$M$8:$M$73,$A15,Calendario!$D$8:$D$73,"Fabrizio")+COUNTIFS(Calendario!$M$8:$M$73,$A15,Calendario!$E$8:$E$73,"Fabrizio")</f>
        <v>0</v>
      </c>
      <c r="AH15" s="1">
        <f>COUNTIFS(Calendario!$M$8:$M$73,$A15,Calendario!$D$8:$D$73,"Alessio")+COUNTIFS(Calendario!$M$8:$M$73,$A15,Calendario!$E$8:$E$73,"Alessio")</f>
        <v>0</v>
      </c>
      <c r="AI15" s="1">
        <f>0</f>
        <v>0</v>
      </c>
      <c r="AJ15" s="1">
        <f>COUNTIFS(Calendario!$M$8:$M$73,$A15,Calendario!$D$8:$D$73,"Gennaro")+COUNTIFS(Calendario!$M$8:$M$73,$A15,Calendario!$E$8:$E$73,"Gennaro")</f>
        <v>0</v>
      </c>
      <c r="AK15" s="1">
        <f>COUNTIFS(Calendario!$M$8:$M$73,$A15,Calendario!$D$8:$D$73,"Federico")+COUNTIFS(Calendario!$M$8:$M$73,$A15,Calendario!$E$8:$E$73,"Federico")</f>
        <v>0</v>
      </c>
      <c r="AL15" s="1">
        <f>COUNTIFS(Calendario!$M$8:$M$73,$A15,Calendario!$D$8:$D$73,"Michele")+COUNTIFS(Calendario!$M$8:$M$73,$A15,Calendario!$E$8:$E$73,"Michele")</f>
        <v>0</v>
      </c>
      <c r="AM15" s="1">
        <f>COUNTIFS(Calendario!$M$8:$M$73,$A15,Calendario!$D$8:$D$73,"Luca")+COUNTIFS(Calendario!$M$8:$M$73,$A15,Calendario!$E$8:$E$73,"Luca")</f>
        <v>0</v>
      </c>
    </row>
    <row r="16" ht="24.0" customHeight="1">
      <c r="A16" s="10" t="s">
        <v>94</v>
      </c>
      <c r="B16" s="3">
        <f>SUMIFS(Calendario!$Z$8:$Z$73,Calendario!$D$8:$D$73,$A16)+SUMIFS(Calendario!$Z$8:$Z$73,Calendario!$E$8:$E$73,$A16)</f>
        <v>1</v>
      </c>
      <c r="C16" s="3">
        <f>COUNTIFS(Calendario!$M$8:$M$73,$A16)</f>
        <v>0</v>
      </c>
      <c r="D16" s="3">
        <f t="shared" si="1"/>
        <v>1</v>
      </c>
      <c r="E16" s="3">
        <f>COUNTIFS(Calendario!$D$8:$D$73,$A16,Calendario!$F$8:$F$73,"Tempo scaduto",Calendario!$Z$8:$Z$73,1)+COUNTIFS(Calendario!$E$8:$E$73,$A16,Calendario!$F$8:$F$73,"Tempo scaduto",Calendario!$Z$8:$Z$73,1)</f>
        <v>0</v>
      </c>
      <c r="F16" s="3">
        <f>SUMIFS(Calendario!$Q$8:$Q$73,Calendario!$D$8:$D$73,$A16)+SUMIFS(Calendario!$R$8:$R$73,Calendario!$E$8:$E$73,$A16)</f>
        <v>5</v>
      </c>
      <c r="G16" s="3">
        <f>SUMIFS(Calendario!$R$8:$R$73,Calendario!$D$8:$D$73,$A16)+SUMIFS(Calendario!$Q$8:$Q$73,Calendario!$E$8:$E$73,$A16)</f>
        <v>12</v>
      </c>
      <c r="H16" s="3">
        <f t="shared" si="2"/>
        <v>-7</v>
      </c>
      <c r="I16" s="3">
        <f>SUMIFS(Calendario!$S$8:$S$73,Calendario!$D$8:$D$73,$A16)+SUMIFS(Calendario!$T$8:$T$73,Calendario!$E$8:$E$73,$A16)+SUMIFS(Calendario!$AB$8:$AB$73,Calendario!$D$8:$D$73,$A16)+SUMIFS(Calendario!$AC$8:$AC$73,Calendario!$E$8:$E$73,$A16)</f>
        <v>0</v>
      </c>
      <c r="J16" s="3">
        <f t="shared" si="3"/>
        <v>5</v>
      </c>
      <c r="K16" s="3">
        <f t="shared" si="4"/>
        <v>1</v>
      </c>
      <c r="L16" s="3">
        <f t="shared" si="5"/>
        <v>0</v>
      </c>
      <c r="M16" s="3">
        <f t="shared" si="6"/>
        <v>0</v>
      </c>
      <c r="N16" s="3">
        <f t="shared" si="7"/>
        <v>10</v>
      </c>
      <c r="O16" s="3">
        <f t="shared" si="8"/>
        <v>10</v>
      </c>
      <c r="P16" s="3">
        <f>SUMIFS(Calendario!$N$8:$N$73,Calendario!$D$8:$D$73,$A16,Calendario!$E$8:$E$73,"Giuseppe")+SUMIFS(Calendario!$O$8:$O$73,Calendario!$E$8:$E$73,$A16,Calendario!$D$8:$D$73,"Giuseppe")</f>
        <v>0</v>
      </c>
      <c r="Q16" s="3">
        <f>SUMIFS(Calendario!$N$8:$N$73,Calendario!$D$8:$D$73,$A16,Calendario!$E$8:$E$73,"Marco")+SUMIFS(Calendario!$O$8:$O$73,Calendario!$E$8:$E$73,$A16,Calendario!$D$8:$D$73,"Marco")</f>
        <v>0</v>
      </c>
      <c r="R16" s="3">
        <f>SUMIFS(Calendario!$N$8:$N$73,Calendario!$D$8:$D$73,$A16,Calendario!$E$8:$E$73,"Alessandro C")+SUMIFS(Calendario!$O$8:$O$73,Calendario!$E$8:$E$73,$A16,Calendario!$D$8:$D$73,"Alessandro C")</f>
        <v>0</v>
      </c>
      <c r="S16" s="3">
        <f>SUMIFS(Calendario!$N$8:$N$73,Calendario!$D$8:$D$73,$A16,Calendario!$E$8:$E$73,"Alessandro P")+SUMIFS(Calendario!$O$8:$O$73,Calendario!$E$8:$E$73,$A16,Calendario!$D$8:$D$73,"Alessandro P")</f>
        <v>0</v>
      </c>
      <c r="T16" s="3">
        <f>SUMIFS(Calendario!$N$8:$N$73,Calendario!$D$8:$D$73,$A16,Calendario!$E$8:$E$73,"Francesco")+SUMIFS(Calendario!$O$8:$O$73,Calendario!$E$8:$E$73,$A16,Calendario!$D$8:$D$73,"Francesco")</f>
        <v>0</v>
      </c>
      <c r="U16" s="3">
        <f>SUMIFS(Calendario!$N$8:$N$73,Calendario!$D$8:$D$73,$A16,Calendario!$E$8:$E$73,"Fabrizio")+SUMIFS(Calendario!$O$8:$O$73,Calendario!$E$8:$E$73,$A16,Calendario!$D$8:$D$73,"Fabrizio")</f>
        <v>0</v>
      </c>
      <c r="V16" s="3">
        <f>SUMIFS(Calendario!$N$8:$N$73,Calendario!$D$8:$D$73,$A16,Calendario!$E$8:$E$73,"Alessio")+SUMIFS(Calendario!$O$8:$O$73,Calendario!$E$8:$E$73,$A16,Calendario!$D$8:$D$73,"Alessio")</f>
        <v>0</v>
      </c>
      <c r="W16" s="3">
        <f>SUMIFS(Calendario!$N$8:$N$73,Calendario!$D$8:$D$73,$A16,Calendario!$E$8:$E$73,"Leonardo")+SUMIFS(Calendario!$O$8:$O$73,Calendario!$E$8:$E$73,$A16,Calendario!$D$8:$D$73,"Leonardo")</f>
        <v>0</v>
      </c>
      <c r="X16" s="3">
        <f>SUMIFS(Calendario!$N$8:$N$73,Calendario!$D$8:$D$73,$A16,Calendario!$E$8:$E$73,"Gennaro")+SUMIFS(Calendario!$O$8:$O$73,Calendario!$E$8:$E$73,$A16,Calendario!$D$8:$D$73,"Gennaro")</f>
        <v>0</v>
      </c>
      <c r="Y16" s="3">
        <f>SUMIFS(Calendario!$N$8:$N$73,Calendario!$D$8:$D$73,$A16,Calendario!$E$8:$E$73,"Federico")+SUMIFS(Calendario!$O$8:$O$73,Calendario!$E$8:$E$73,$A16,Calendario!$D$8:$D$73,"Federico")</f>
        <v>0</v>
      </c>
      <c r="Z16" s="3">
        <f>SUMIFS(Calendario!$N$8:$N$73,Calendario!$D$8:$D$73,$A16,Calendario!$E$8:$E$73,"Michele")+SUMIFS(Calendario!$O$8:$O$73,Calendario!$E$8:$E$73,$A16,Calendario!$D$8:$D$73,"Michele")</f>
        <v>0</v>
      </c>
      <c r="AA16" s="3">
        <f>SUMIFS(Calendario!$N$8:$N$73,Calendario!$D$8:$D$73,$A16,Calendario!$E$8:$E$73,"Luca")+SUMIFS(Calendario!$O$8:$O$73,Calendario!$E$8:$E$73,$A16,Calendario!$D$8:$D$73,"Luca")</f>
        <v>0</v>
      </c>
      <c r="AB16" s="3">
        <f>COUNTIFS(Calendario!$M$8:$M$73,$A16,Calendario!$D$8:$D$73,"Giuseppe")+COUNTIFS(Calendario!$M$8:$M$73,$A16,Calendario!$E$8:$E$73,"Giuseppe")</f>
        <v>0</v>
      </c>
      <c r="AC16" s="3">
        <f>COUNTIFS(Calendario!$M$8:$M$73,$A16,Calendario!$D$8:$D$73,"Marco")+COUNTIFS(Calendario!$M$8:$M$73,$A16,Calendario!$E$8:$E$73,"Marco")</f>
        <v>0</v>
      </c>
      <c r="AD16" s="3">
        <f>COUNTIFS(Calendario!$M$8:$M$73,$A16,Calendario!$D$8:$D$73,"Alessandro C")+COUNTIFS(Calendario!$M$8:$M$73,$A16,Calendario!$E$8:$E$73,"Alessandro C")</f>
        <v>0</v>
      </c>
      <c r="AE16" s="3">
        <f>COUNTIFS(Calendario!$M$8:$M$73,$A16,Calendario!$D$8:$D$73,"Alessandro P")+COUNTIFS(Calendario!$M$8:$M$73,$A16,Calendario!$E$8:$E$73,"Alessandro P")</f>
        <v>0</v>
      </c>
      <c r="AF16" s="3">
        <f>COUNTIFS(Calendario!$M$8:$M$73,$A16,Calendario!$D$8:$D$73,"Francesco")+COUNTIFS(Calendario!$M$8:$M$73,$A16,Calendario!$E$8:$E$73,"Francesco")</f>
        <v>0</v>
      </c>
      <c r="AG16" s="3">
        <f>COUNTIFS(Calendario!$M$8:$M$73,$A16,Calendario!$D$8:$D$73,"Fabrizio")+COUNTIFS(Calendario!$M$8:$M$73,$A16,Calendario!$E$8:$E$73,"Fabrizio")</f>
        <v>0</v>
      </c>
      <c r="AH16" s="3">
        <f>COUNTIFS(Calendario!$M$8:$M$73,$A16,Calendario!$D$8:$D$73,"Alessio")+COUNTIFS(Calendario!$M$8:$M$73,$A16,Calendario!$E$8:$E$73,"Alessio")</f>
        <v>0</v>
      </c>
      <c r="AI16" s="3">
        <f>COUNTIFS(Calendario!$M$8:$M$73,$A16,Calendario!$D$8:$D$73,"Leonardo")+COUNTIFS(Calendario!$M$8:$M$73,$A16,Calendario!$E$8:$E$73,"Leonardo")</f>
        <v>0</v>
      </c>
      <c r="AJ16" s="3">
        <f>0</f>
        <v>0</v>
      </c>
      <c r="AK16" s="3">
        <f>COUNTIFS(Calendario!$M$8:$M$73,$A16,Calendario!$D$8:$D$73,"Federico")+COUNTIFS(Calendario!$M$8:$M$73,$A16,Calendario!$E$8:$E$73,"Federico")</f>
        <v>0</v>
      </c>
      <c r="AL16" s="3">
        <f>COUNTIFS(Calendario!$M$8:$M$73,$A16,Calendario!$D$8:$D$73,"Michele")+COUNTIFS(Calendario!$M$8:$M$73,$A16,Calendario!$E$8:$E$73,"Michele")</f>
        <v>0</v>
      </c>
      <c r="AM16" s="3">
        <f>COUNTIFS(Calendario!$M$8:$M$73,$A16,Calendario!$D$8:$D$73,"Luca")+COUNTIFS(Calendario!$M$8:$M$73,$A16,Calendario!$E$8:$E$73,"Luca")</f>
        <v>0</v>
      </c>
    </row>
    <row r="17" ht="24.0" customHeight="1">
      <c r="A17" s="28" t="s">
        <v>91</v>
      </c>
      <c r="B17" s="1">
        <f>SUMIFS(Calendario!$Z$8:$Z$73,Calendario!$D$8:$D$73,$A17)+SUMIFS(Calendario!$Z$8:$Z$73,Calendario!$E$8:$E$73,$A17)</f>
        <v>2</v>
      </c>
      <c r="C17" s="1">
        <f>COUNTIFS(Calendario!$M$8:$M$73,$A17)</f>
        <v>2</v>
      </c>
      <c r="D17" s="1">
        <f t="shared" si="1"/>
        <v>0</v>
      </c>
      <c r="E17" s="1">
        <f>COUNTIFS(Calendario!$D$8:$D$73,$A17,Calendario!$F$8:$F$73,"Tempo scaduto",Calendario!$Z$8:$Z$73,1)+COUNTIFS(Calendario!$E$8:$E$73,$A17,Calendario!$F$8:$F$73,"Tempo scaduto",Calendario!$Z$8:$Z$73,1)</f>
        <v>0</v>
      </c>
      <c r="F17" s="1">
        <f>SUMIFS(Calendario!$Q$8:$Q$73,Calendario!$D$8:$D$73,$A17)+SUMIFS(Calendario!$R$8:$R$73,Calendario!$E$8:$E$73,$A17)</f>
        <v>24</v>
      </c>
      <c r="G17" s="1">
        <f>SUMIFS(Calendario!$R$8:$R$73,Calendario!$D$8:$D$73,$A17)+SUMIFS(Calendario!$Q$8:$Q$73,Calendario!$E$8:$E$73,$A17)</f>
        <v>5</v>
      </c>
      <c r="H17" s="1">
        <f t="shared" si="2"/>
        <v>19</v>
      </c>
      <c r="I17" s="1">
        <f>SUMIFS(Calendario!$S$8:$S$73,Calendario!$D$8:$D$73,$A17)+SUMIFS(Calendario!$T$8:$T$73,Calendario!$E$8:$E$73,$A17)+SUMIFS(Calendario!$AB$8:$AB$73,Calendario!$D$8:$D$73,$A17)+SUMIFS(Calendario!$AC$8:$AC$73,Calendario!$E$8:$E$73,$A17)</f>
        <v>6</v>
      </c>
      <c r="J17" s="1">
        <f t="shared" si="3"/>
        <v>30</v>
      </c>
      <c r="K17" s="1">
        <f t="shared" si="4"/>
        <v>1</v>
      </c>
      <c r="L17" s="1">
        <f t="shared" si="5"/>
        <v>0</v>
      </c>
      <c r="M17" s="1">
        <f t="shared" si="6"/>
        <v>0</v>
      </c>
      <c r="N17" s="1">
        <f t="shared" si="7"/>
        <v>1</v>
      </c>
      <c r="O17" s="1">
        <f t="shared" si="8"/>
        <v>1</v>
      </c>
      <c r="P17" s="1">
        <f>SUMIFS(Calendario!$N$8:$N$73,Calendario!$D$8:$D$73,$A17,Calendario!$E$8:$E$73,"Giuseppe")+SUMIFS(Calendario!$O$8:$O$73,Calendario!$E$8:$E$73,$A17,Calendario!$D$8:$D$73,"Giuseppe")</f>
        <v>0</v>
      </c>
      <c r="Q17" s="1">
        <f>SUMIFS(Calendario!$N$8:$N$73,Calendario!$D$8:$D$73,$A17,Calendario!$E$8:$E$73,"Marco")+SUMIFS(Calendario!$O$8:$O$73,Calendario!$E$8:$E$73,$A17,Calendario!$D$8:$D$73,"Marco")</f>
        <v>0</v>
      </c>
      <c r="R17" s="1">
        <f>SUMIFS(Calendario!$N$8:$N$73,Calendario!$D$8:$D$73,$A17,Calendario!$E$8:$E$73,"Alessandro C")+SUMIFS(Calendario!$O$8:$O$73,Calendario!$E$8:$E$73,$A17,Calendario!$D$8:$D$73,"Alessandro C")</f>
        <v>0</v>
      </c>
      <c r="S17" s="1">
        <f>SUMIFS(Calendario!$N$8:$N$73,Calendario!$D$8:$D$73,$A17,Calendario!$E$8:$E$73,"Alessandro P")+SUMIFS(Calendario!$O$8:$O$73,Calendario!$E$8:$E$73,$A17,Calendario!$D$8:$D$73,"Alessandro P")</f>
        <v>0</v>
      </c>
      <c r="T17" s="1">
        <f>SUMIFS(Calendario!$N$8:$N$73,Calendario!$D$8:$D$73,$A17,Calendario!$E$8:$E$73,"Francesco")+SUMIFS(Calendario!$O$8:$O$73,Calendario!$E$8:$E$73,$A17,Calendario!$D$8:$D$73,"Francesco")</f>
        <v>0</v>
      </c>
      <c r="U17" s="1">
        <f>SUMIFS(Calendario!$N$8:$N$73,Calendario!$D$8:$D$73,$A17,Calendario!$E$8:$E$73,"Fabrizio")+SUMIFS(Calendario!$O$8:$O$73,Calendario!$E$8:$E$73,$A17,Calendario!$D$8:$D$73,"Fabrizio")</f>
        <v>0</v>
      </c>
      <c r="V17" s="1">
        <f>SUMIFS(Calendario!$N$8:$N$73,Calendario!$D$8:$D$73,$A17,Calendario!$E$8:$E$73,"Alessio")+SUMIFS(Calendario!$O$8:$O$73,Calendario!$E$8:$E$73,$A17,Calendario!$D$8:$D$73,"Alessio")</f>
        <v>0</v>
      </c>
      <c r="W17" s="1">
        <f>SUMIFS(Calendario!$N$8:$N$73,Calendario!$D$8:$D$73,$A17,Calendario!$E$8:$E$73,"Leonardo")+SUMIFS(Calendario!$O$8:$O$73,Calendario!$E$8:$E$73,$A17,Calendario!$D$8:$D$73,"Leonardo")</f>
        <v>0</v>
      </c>
      <c r="X17" s="1">
        <f>SUMIFS(Calendario!$N$8:$N$73,Calendario!$D$8:$D$73,$A17,Calendario!$E$8:$E$73,"Gennaro")+SUMIFS(Calendario!$O$8:$O$73,Calendario!$E$8:$E$73,$A17,Calendario!$D$8:$D$73,"Gennaro")</f>
        <v>0</v>
      </c>
      <c r="Y17" s="1">
        <f>SUMIFS(Calendario!$N$8:$N$73,Calendario!$D$8:$D$73,$A17,Calendario!$E$8:$E$73,"Federico")+SUMIFS(Calendario!$O$8:$O$73,Calendario!$E$8:$E$73,$A17,Calendario!$D$8:$D$73,"Federico")</f>
        <v>0</v>
      </c>
      <c r="Z17" s="1">
        <f>SUMIFS(Calendario!$N$8:$N$73,Calendario!$D$8:$D$73,$A17,Calendario!$E$8:$E$73,"Michele")+SUMIFS(Calendario!$O$8:$O$73,Calendario!$E$8:$E$73,$A17,Calendario!$D$8:$D$73,"Michele")</f>
        <v>0</v>
      </c>
      <c r="AA17" s="1">
        <f>SUMIFS(Calendario!$N$8:$N$73,Calendario!$D$8:$D$73,$A17,Calendario!$E$8:$E$73,"Luca")+SUMIFS(Calendario!$O$8:$O$73,Calendario!$E$8:$E$73,$A17,Calendario!$D$8:$D$73,"Luca")</f>
        <v>0</v>
      </c>
      <c r="AB17" s="1">
        <f>COUNTIFS(Calendario!$M$8:$M$73,$A17,Calendario!$D$8:$D$73,"Giuseppe")+COUNTIFS(Calendario!$M$8:$M$73,$A17,Calendario!$E$8:$E$73,"Giuseppe")</f>
        <v>0</v>
      </c>
      <c r="AC17" s="1">
        <f>COUNTIFS(Calendario!$M$8:$M$73,$A17,Calendario!$D$8:$D$73,"Marco")+COUNTIFS(Calendario!$M$8:$M$73,$A17,Calendario!$E$8:$E$73,"Marco")</f>
        <v>0</v>
      </c>
      <c r="AD17" s="1">
        <f>COUNTIFS(Calendario!$M$8:$M$73,$A17,Calendario!$D$8:$D$73,"Alessandro C")+COUNTIFS(Calendario!$M$8:$M$73,$A17,Calendario!$E$8:$E$73,"Alessandro C")</f>
        <v>0</v>
      </c>
      <c r="AE17" s="1">
        <f>COUNTIFS(Calendario!$M$8:$M$73,$A17,Calendario!$D$8:$D$73,"Alessandro P")+COUNTIFS(Calendario!$M$8:$M$73,$A17,Calendario!$E$8:$E$73,"Alessandro P")</f>
        <v>0</v>
      </c>
      <c r="AF17" s="1">
        <f>COUNTIFS(Calendario!$M$8:$M$73,$A17,Calendario!$D$8:$D$73,"Francesco")+COUNTIFS(Calendario!$M$8:$M$73,$A17,Calendario!$E$8:$E$73,"Francesco")</f>
        <v>0</v>
      </c>
      <c r="AG17" s="1">
        <f>COUNTIFS(Calendario!$M$8:$M$73,$A17,Calendario!$D$8:$D$73,"Fabrizio")+COUNTIFS(Calendario!$M$8:$M$73,$A17,Calendario!$E$8:$E$73,"Fabrizio")</f>
        <v>0</v>
      </c>
      <c r="AH17" s="1">
        <f>COUNTIFS(Calendario!$M$8:$M$73,$A17,Calendario!$D$8:$D$73,"Alessio")+COUNTIFS(Calendario!$M$8:$M$73,$A17,Calendario!$E$8:$E$73,"Alessio")</f>
        <v>0</v>
      </c>
      <c r="AI17" s="1">
        <f>COUNTIFS(Calendario!$M$8:$M$73,$A17,Calendario!$D$8:$D$73,"Leonardo")+COUNTIFS(Calendario!$M$8:$M$73,$A17,Calendario!$E$8:$E$73,"Leonardo")</f>
        <v>0</v>
      </c>
      <c r="AJ17" s="1">
        <f>COUNTIFS(Calendario!$M$8:$M$73,$A17,Calendario!$D$8:$D$73,"Gennaro")+COUNTIFS(Calendario!$M$8:$M$73,$A17,Calendario!$E$8:$E$73,"Gennaro")</f>
        <v>0</v>
      </c>
      <c r="AK17" s="1">
        <f>0</f>
        <v>0</v>
      </c>
      <c r="AL17" s="1">
        <f>COUNTIFS(Calendario!$M$8:$M$73,$A17,Calendario!$D$8:$D$73,"Michele")+COUNTIFS(Calendario!$M$8:$M$73,$A17,Calendario!$E$8:$E$73,"Michele")</f>
        <v>0</v>
      </c>
      <c r="AM17" s="1">
        <f>COUNTIFS(Calendario!$M$8:$M$73,$A17,Calendario!$D$8:$D$73,"Luca")+COUNTIFS(Calendario!$M$8:$M$73,$A17,Calendario!$E$8:$E$73,"Luca")</f>
        <v>0</v>
      </c>
    </row>
    <row r="18" ht="24.0" customHeight="1">
      <c r="A18" s="10" t="s">
        <v>88</v>
      </c>
      <c r="B18" s="3">
        <f>SUMIFS(Calendario!$Z$8:$Z$73,Calendario!$D$8:$D$73,$A18)+SUMIFS(Calendario!$Z$8:$Z$73,Calendario!$E$8:$E$73,$A18)</f>
        <v>1</v>
      </c>
      <c r="C18" s="3">
        <f>COUNTIFS(Calendario!$M$8:$M$73,$A18)</f>
        <v>0</v>
      </c>
      <c r="D18" s="3">
        <f t="shared" si="1"/>
        <v>1</v>
      </c>
      <c r="E18" s="3">
        <f>COUNTIFS(Calendario!$D$8:$D$73,$A18,Calendario!$F$8:$F$73,"Tempo scaduto",Calendario!$Z$8:$Z$73,1)+COUNTIFS(Calendario!$E$8:$E$73,$A18,Calendario!$F$8:$F$73,"Tempo scaduto",Calendario!$Z$8:$Z$73,1)</f>
        <v>0</v>
      </c>
      <c r="F18" s="3">
        <f>SUMIFS(Calendario!$Q$8:$Q$73,Calendario!$D$8:$D$73,$A18)+SUMIFS(Calendario!$R$8:$R$73,Calendario!$E$8:$E$73,$A18)</f>
        <v>4</v>
      </c>
      <c r="G18" s="3">
        <f>SUMIFS(Calendario!$R$8:$R$73,Calendario!$D$8:$D$73,$A18)+SUMIFS(Calendario!$Q$8:$Q$73,Calendario!$E$8:$E$73,$A18)</f>
        <v>12</v>
      </c>
      <c r="H18" s="3">
        <f t="shared" si="2"/>
        <v>-8</v>
      </c>
      <c r="I18" s="3">
        <f>SUMIFS(Calendario!$S$8:$S$73,Calendario!$D$8:$D$73,$A18)+SUMIFS(Calendario!$T$8:$T$73,Calendario!$E$8:$E$73,$A18)+SUMIFS(Calendario!$AB$8:$AB$73,Calendario!$D$8:$D$73,$A18)+SUMIFS(Calendario!$AC$8:$AC$73,Calendario!$E$8:$E$73,$A18)</f>
        <v>0</v>
      </c>
      <c r="J18" s="3">
        <f t="shared" si="3"/>
        <v>4</v>
      </c>
      <c r="K18" s="3">
        <f t="shared" si="4"/>
        <v>1</v>
      </c>
      <c r="L18" s="3">
        <f t="shared" si="5"/>
        <v>0</v>
      </c>
      <c r="M18" s="3">
        <f t="shared" si="6"/>
        <v>0</v>
      </c>
      <c r="N18" s="3">
        <f t="shared" si="7"/>
        <v>11</v>
      </c>
      <c r="O18" s="3">
        <f t="shared" si="8"/>
        <v>11</v>
      </c>
      <c r="P18" s="3">
        <f>SUMIFS(Calendario!$N$8:$N$73,Calendario!$D$8:$D$73,$A18,Calendario!$E$8:$E$73,"Giuseppe")+SUMIFS(Calendario!$O$8:$O$73,Calendario!$E$8:$E$73,$A18,Calendario!$D$8:$D$73,"Giuseppe")</f>
        <v>0</v>
      </c>
      <c r="Q18" s="3">
        <f>SUMIFS(Calendario!$N$8:$N$73,Calendario!$D$8:$D$73,$A18,Calendario!$E$8:$E$73,"Marco")+SUMIFS(Calendario!$O$8:$O$73,Calendario!$E$8:$E$73,$A18,Calendario!$D$8:$D$73,"Marco")</f>
        <v>0</v>
      </c>
      <c r="R18" s="3">
        <f>SUMIFS(Calendario!$N$8:$N$73,Calendario!$D$8:$D$73,$A18,Calendario!$E$8:$E$73,"Alessandro C")+SUMIFS(Calendario!$O$8:$O$73,Calendario!$E$8:$E$73,$A18,Calendario!$D$8:$D$73,"Alessandro C")</f>
        <v>0</v>
      </c>
      <c r="S18" s="3">
        <f>SUMIFS(Calendario!$N$8:$N$73,Calendario!$D$8:$D$73,$A18,Calendario!$E$8:$E$73,"Alessandro P")+SUMIFS(Calendario!$O$8:$O$73,Calendario!$E$8:$E$73,$A18,Calendario!$D$8:$D$73,"Alessandro P")</f>
        <v>0</v>
      </c>
      <c r="T18" s="3">
        <f>SUMIFS(Calendario!$N$8:$N$73,Calendario!$D$8:$D$73,$A18,Calendario!$E$8:$E$73,"Francesco")+SUMIFS(Calendario!$O$8:$O$73,Calendario!$E$8:$E$73,$A18,Calendario!$D$8:$D$73,"Francesco")</f>
        <v>0</v>
      </c>
      <c r="U18" s="3">
        <f>SUMIFS(Calendario!$N$8:$N$73,Calendario!$D$8:$D$73,$A18,Calendario!$E$8:$E$73,"Fabrizio")+SUMIFS(Calendario!$O$8:$O$73,Calendario!$E$8:$E$73,$A18,Calendario!$D$8:$D$73,"Fabrizio")</f>
        <v>0</v>
      </c>
      <c r="V18" s="3">
        <f>SUMIFS(Calendario!$N$8:$N$73,Calendario!$D$8:$D$73,$A18,Calendario!$E$8:$E$73,"Alessio")+SUMIFS(Calendario!$O$8:$O$73,Calendario!$E$8:$E$73,$A18,Calendario!$D$8:$D$73,"Alessio")</f>
        <v>0</v>
      </c>
      <c r="W18" s="3">
        <f>SUMIFS(Calendario!$N$8:$N$73,Calendario!$D$8:$D$73,$A18,Calendario!$E$8:$E$73,"Leonardo")+SUMIFS(Calendario!$O$8:$O$73,Calendario!$E$8:$E$73,$A18,Calendario!$D$8:$D$73,"Leonardo")</f>
        <v>0</v>
      </c>
      <c r="X18" s="3">
        <f>SUMIFS(Calendario!$N$8:$N$73,Calendario!$D$8:$D$73,$A18,Calendario!$E$8:$E$73,"Gennaro")+SUMIFS(Calendario!$O$8:$O$73,Calendario!$E$8:$E$73,$A18,Calendario!$D$8:$D$73,"Gennaro")</f>
        <v>0</v>
      </c>
      <c r="Y18" s="3">
        <f>SUMIFS(Calendario!$N$8:$N$73,Calendario!$D$8:$D$73,$A18,Calendario!$E$8:$E$73,"Federico")+SUMIFS(Calendario!$O$8:$O$73,Calendario!$E$8:$E$73,$A18,Calendario!$D$8:$D$73,"Federico")</f>
        <v>0</v>
      </c>
      <c r="Z18" s="3">
        <f>SUMIFS(Calendario!$N$8:$N$73,Calendario!$D$8:$D$73,$A18,Calendario!$E$8:$E$73,"Michele")+SUMIFS(Calendario!$O$8:$O$73,Calendario!$E$8:$E$73,$A18,Calendario!$D$8:$D$73,"Michele")</f>
        <v>0</v>
      </c>
      <c r="AA18" s="3">
        <f>SUMIFS(Calendario!$N$8:$N$73,Calendario!$D$8:$D$73,$A18,Calendario!$E$8:$E$73,"Luca")+SUMIFS(Calendario!$O$8:$O$73,Calendario!$E$8:$E$73,$A18,Calendario!$D$8:$D$73,"Luca")</f>
        <v>0</v>
      </c>
      <c r="AB18" s="3">
        <f>COUNTIFS(Calendario!$M$8:$M$73,$A18,Calendario!$D$8:$D$73,"Giuseppe")+COUNTIFS(Calendario!$M$8:$M$73,$A18,Calendario!$E$8:$E$73,"Giuseppe")</f>
        <v>0</v>
      </c>
      <c r="AC18" s="3">
        <f>COUNTIFS(Calendario!$M$8:$M$73,$A18,Calendario!$D$8:$D$73,"Marco")+COUNTIFS(Calendario!$M$8:$M$73,$A18,Calendario!$E$8:$E$73,"Marco")</f>
        <v>0</v>
      </c>
      <c r="AD18" s="3">
        <f>COUNTIFS(Calendario!$M$8:$M$73,$A18,Calendario!$D$8:$D$73,"Alessandro C")+COUNTIFS(Calendario!$M$8:$M$73,$A18,Calendario!$E$8:$E$73,"Alessandro C")</f>
        <v>0</v>
      </c>
      <c r="AE18" s="3">
        <f>COUNTIFS(Calendario!$M$8:$M$73,$A18,Calendario!$D$8:$D$73,"Alessandro P")+COUNTIFS(Calendario!$M$8:$M$73,$A18,Calendario!$E$8:$E$73,"Alessandro P")</f>
        <v>0</v>
      </c>
      <c r="AF18" s="3">
        <f>COUNTIFS(Calendario!$M$8:$M$73,$A18,Calendario!$D$8:$D$73,"Francesco")+COUNTIFS(Calendario!$M$8:$M$73,$A18,Calendario!$E$8:$E$73,"Francesco")</f>
        <v>0</v>
      </c>
      <c r="AG18" s="3">
        <f>COUNTIFS(Calendario!$M$8:$M$73,$A18,Calendario!$D$8:$D$73,"Fabrizio")+COUNTIFS(Calendario!$M$8:$M$73,$A18,Calendario!$E$8:$E$73,"Fabrizio")</f>
        <v>0</v>
      </c>
      <c r="AH18" s="3">
        <f>COUNTIFS(Calendario!$M$8:$M$73,$A18,Calendario!$D$8:$D$73,"Alessio")+COUNTIFS(Calendario!$M$8:$M$73,$A18,Calendario!$E$8:$E$73,"Alessio")</f>
        <v>0</v>
      </c>
      <c r="AI18" s="3">
        <f>COUNTIFS(Calendario!$M$8:$M$73,$A18,Calendario!$D$8:$D$73,"Leonardo")+COUNTIFS(Calendario!$M$8:$M$73,$A18,Calendario!$E$8:$E$73,"Leonardo")</f>
        <v>0</v>
      </c>
      <c r="AJ18" s="3">
        <f>COUNTIFS(Calendario!$M$8:$M$73,$A18,Calendario!$D$8:$D$73,"Gennaro")+COUNTIFS(Calendario!$M$8:$M$73,$A18,Calendario!$E$8:$E$73,"Gennaro")</f>
        <v>0</v>
      </c>
      <c r="AK18" s="3">
        <f>COUNTIFS(Calendario!$M$8:$M$73,$A18,Calendario!$D$8:$D$73,"Federico")+COUNTIFS(Calendario!$M$8:$M$73,$A18,Calendario!$E$8:$E$73,"Federico")</f>
        <v>0</v>
      </c>
      <c r="AL18" s="3">
        <f>0</f>
        <v>0</v>
      </c>
      <c r="AM18" s="3">
        <f>COUNTIFS(Calendario!$M$8:$M$73,$A18,Calendario!$D$8:$D$73,"Luca")+COUNTIFS(Calendario!$M$8:$M$73,$A18,Calendario!$E$8:$E$73,"Luca")</f>
        <v>0</v>
      </c>
    </row>
    <row r="19" ht="24.0" customHeight="1">
      <c r="A19" s="28" t="s">
        <v>84</v>
      </c>
      <c r="B19" s="1">
        <f>SUMIFS(Calendario!$Z$8:$Z$73,Calendario!$D$8:$D$73,$A19)+SUMIFS(Calendario!$Z$8:$Z$73,Calendario!$E$8:$E$73,$A19)</f>
        <v>2</v>
      </c>
      <c r="C19" s="1">
        <f>COUNTIFS(Calendario!$M$8:$M$73,$A19)</f>
        <v>0</v>
      </c>
      <c r="D19" s="1">
        <f t="shared" si="1"/>
        <v>2</v>
      </c>
      <c r="E19" s="1">
        <f>COUNTIFS(Calendario!$D$8:$D$73,$A19,Calendario!$F$8:$F$73,"Tempo scaduto",Calendario!$Z$8:$Z$73,1)+COUNTIFS(Calendario!$E$8:$E$73,$A19,Calendario!$F$8:$F$73,"Tempo scaduto",Calendario!$Z$8:$Z$73,1)</f>
        <v>0</v>
      </c>
      <c r="F19" s="1">
        <f>SUMIFS(Calendario!$Q$8:$Q$73,Calendario!$D$8:$D$73,$A19)+SUMIFS(Calendario!$R$8:$R$73,Calendario!$E$8:$E$73,$A19)</f>
        <v>6</v>
      </c>
      <c r="G19" s="1">
        <f>SUMIFS(Calendario!$R$8:$R$73,Calendario!$D$8:$D$73,$A19)+SUMIFS(Calendario!$Q$8:$Q$73,Calendario!$E$8:$E$73,$A19)</f>
        <v>24</v>
      </c>
      <c r="H19" s="1">
        <f t="shared" si="2"/>
        <v>-18</v>
      </c>
      <c r="I19" s="1">
        <f>SUMIFS(Calendario!$S$8:$S$73,Calendario!$D$8:$D$73,$A19)+SUMIFS(Calendario!$T$8:$T$73,Calendario!$E$8:$E$73,$A19)+SUMIFS(Calendario!$AB$8:$AB$73,Calendario!$D$8:$D$73,$A19)+SUMIFS(Calendario!$AC$8:$AC$73,Calendario!$E$8:$E$73,$A19)</f>
        <v>0</v>
      </c>
      <c r="J19" s="1">
        <f t="shared" si="3"/>
        <v>6</v>
      </c>
      <c r="K19" s="1">
        <f t="shared" si="4"/>
        <v>2</v>
      </c>
      <c r="L19" s="1">
        <f t="shared" si="5"/>
        <v>0</v>
      </c>
      <c r="M19" s="1">
        <f t="shared" si="6"/>
        <v>0</v>
      </c>
      <c r="N19" s="1">
        <f t="shared" si="7"/>
        <v>8</v>
      </c>
      <c r="O19" s="1">
        <f t="shared" si="8"/>
        <v>9</v>
      </c>
      <c r="P19" s="1">
        <f>SUMIFS(Calendario!$N$8:$N$73,Calendario!$D$8:$D$73,$A19,Calendario!$E$8:$E$73,"Giuseppe")+SUMIFS(Calendario!$O$8:$O$73,Calendario!$E$8:$E$73,$A19,Calendario!$D$8:$D$73,"Giuseppe")</f>
        <v>0</v>
      </c>
      <c r="Q19" s="1">
        <f>SUMIFS(Calendario!$N$8:$N$73,Calendario!$D$8:$D$73,$A19,Calendario!$E$8:$E$73,"Marco")+SUMIFS(Calendario!$O$8:$O$73,Calendario!$E$8:$E$73,$A19,Calendario!$D$8:$D$73,"Marco")</f>
        <v>0</v>
      </c>
      <c r="R19" s="1">
        <f>SUMIFS(Calendario!$N$8:$N$73,Calendario!$D$8:$D$73,$A19,Calendario!$E$8:$E$73,"Alessandro C")+SUMIFS(Calendario!$O$8:$O$73,Calendario!$E$8:$E$73,$A19,Calendario!$D$8:$D$73,"Alessandro C")</f>
        <v>0</v>
      </c>
      <c r="S19" s="1">
        <f>SUMIFS(Calendario!$N$8:$N$73,Calendario!$D$8:$D$73,$A19,Calendario!$E$8:$E$73,"Alessandro P")+SUMIFS(Calendario!$O$8:$O$73,Calendario!$E$8:$E$73,$A19,Calendario!$D$8:$D$73,"Alessandro P")</f>
        <v>0</v>
      </c>
      <c r="T19" s="1">
        <f>SUMIFS(Calendario!$N$8:$N$73,Calendario!$D$8:$D$73,$A19,Calendario!$E$8:$E$73,"Francesco")+SUMIFS(Calendario!$O$8:$O$73,Calendario!$E$8:$E$73,$A19,Calendario!$D$8:$D$73,"Francesco")</f>
        <v>0</v>
      </c>
      <c r="U19" s="1">
        <f>SUMIFS(Calendario!$N$8:$N$73,Calendario!$D$8:$D$73,$A19,Calendario!$E$8:$E$73,"Fabrizio")+SUMIFS(Calendario!$O$8:$O$73,Calendario!$E$8:$E$73,$A19,Calendario!$D$8:$D$73,"Fabrizio")</f>
        <v>0</v>
      </c>
      <c r="V19" s="1">
        <f>SUMIFS(Calendario!$N$8:$N$73,Calendario!$D$8:$D$73,$A19,Calendario!$E$8:$E$73,"Alessio")+SUMIFS(Calendario!$O$8:$O$73,Calendario!$E$8:$E$73,$A19,Calendario!$D$8:$D$73,"Alessio")</f>
        <v>0</v>
      </c>
      <c r="W19" s="1">
        <f>SUMIFS(Calendario!$N$8:$N$73,Calendario!$D$8:$D$73,$A19,Calendario!$E$8:$E$73,"Leonardo")+SUMIFS(Calendario!$O$8:$O$73,Calendario!$E$8:$E$73,$A19,Calendario!$D$8:$D$73,"Leonardo")</f>
        <v>0</v>
      </c>
      <c r="X19" s="1">
        <f>SUMIFS(Calendario!$N$8:$N$73,Calendario!$D$8:$D$73,$A19,Calendario!$E$8:$E$73,"Gennaro")+SUMIFS(Calendario!$O$8:$O$73,Calendario!$E$8:$E$73,$A19,Calendario!$D$8:$D$73,"Gennaro")</f>
        <v>0</v>
      </c>
      <c r="Y19" s="1">
        <f>SUMIFS(Calendario!$N$8:$N$73,Calendario!$D$8:$D$73,$A19,Calendario!$E$8:$E$73,"Federico")+SUMIFS(Calendario!$O$8:$O$73,Calendario!$E$8:$E$73,$A19,Calendario!$D$8:$D$73,"Federico")</f>
        <v>0</v>
      </c>
      <c r="Z19" s="1">
        <f>SUMIFS(Calendario!$N$8:$N$73,Calendario!$D$8:$D$73,$A19,Calendario!$E$8:$E$73,"Michele")+SUMIFS(Calendario!$O$8:$O$73,Calendario!$E$8:$E$73,$A19,Calendario!$D$8:$D$73,"Michele")</f>
        <v>0</v>
      </c>
      <c r="AA19" s="1">
        <f>SUMIFS(Calendario!$N$8:$N$73,Calendario!$D$8:$D$73,$A19,Calendario!$E$8:$E$73,"Luca")+SUMIFS(Calendario!$O$8:$O$73,Calendario!$E$8:$E$73,$A19,Calendario!$D$8:$D$73,"Luca")</f>
        <v>0</v>
      </c>
      <c r="AB19" s="1">
        <f>COUNTIFS(Calendario!$M$8:$M$73,$A19,Calendario!$D$8:$D$73,"Giuseppe")+COUNTIFS(Calendario!$M$8:$M$73,$A19,Calendario!$E$8:$E$73,"Giuseppe")</f>
        <v>0</v>
      </c>
      <c r="AC19" s="1">
        <f>COUNTIFS(Calendario!$M$8:$M$73,$A19,Calendario!$D$8:$D$73,"Marco")+COUNTIFS(Calendario!$M$8:$M$73,$A19,Calendario!$E$8:$E$73,"Marco")</f>
        <v>0</v>
      </c>
      <c r="AD19" s="1">
        <f>COUNTIFS(Calendario!$M$8:$M$73,$A19,Calendario!$D$8:$D$73,"Alessandro C")+COUNTIFS(Calendario!$M$8:$M$73,$A19,Calendario!$E$8:$E$73,"Alessandro C")</f>
        <v>0</v>
      </c>
      <c r="AE19" s="1">
        <f>COUNTIFS(Calendario!$M$8:$M$73,$A19,Calendario!$D$8:$D$73,"Alessandro P")+COUNTIFS(Calendario!$M$8:$M$73,$A19,Calendario!$E$8:$E$73,"Alessandro P")</f>
        <v>0</v>
      </c>
      <c r="AF19" s="1">
        <f>COUNTIFS(Calendario!$M$8:$M$73,$A19,Calendario!$D$8:$D$73,"Francesco")+COUNTIFS(Calendario!$M$8:$M$73,$A19,Calendario!$E$8:$E$73,"Francesco")</f>
        <v>0</v>
      </c>
      <c r="AG19" s="1">
        <f>COUNTIFS(Calendario!$M$8:$M$73,$A19,Calendario!$D$8:$D$73,"Fabrizio")+COUNTIFS(Calendario!$M$8:$M$73,$A19,Calendario!$E$8:$E$73,"Fabrizio")</f>
        <v>0</v>
      </c>
      <c r="AH19" s="1">
        <f>COUNTIFS(Calendario!$M$8:$M$73,$A19,Calendario!$D$8:$D$73,"Alessio")+COUNTIFS(Calendario!$M$8:$M$73,$A19,Calendario!$E$8:$E$73,"Alessio")</f>
        <v>0</v>
      </c>
      <c r="AI19" s="1">
        <f>COUNTIFS(Calendario!$M$8:$M$73,$A19,Calendario!$D$8:$D$73,"Leonardo")+COUNTIFS(Calendario!$M$8:$M$73,$A19,Calendario!$E$8:$E$73,"Leonardo")</f>
        <v>0</v>
      </c>
      <c r="AJ19" s="1">
        <f>COUNTIFS(Calendario!$M$8:$M$73,$A19,Calendario!$D$8:$D$73,"Gennaro")+COUNTIFS(Calendario!$M$8:$M$73,$A19,Calendario!$E$8:$E$73,"Gennaro")</f>
        <v>0</v>
      </c>
      <c r="AK19" s="1">
        <f>COUNTIFS(Calendario!$M$8:$M$73,$A19,Calendario!$D$8:$D$73,"Federico")+COUNTIFS(Calendario!$M$8:$M$73,$A19,Calendario!$E$8:$E$73,"Federico")</f>
        <v>0</v>
      </c>
      <c r="AL19" s="1">
        <f>COUNTIFS(Calendario!$M$8:$M$73,$A19,Calendario!$D$8:$D$73,"Michele")+COUNTIFS(Calendario!$M$8:$M$73,$A19,Calendario!$E$8:$E$73,"Michele")</f>
        <v>0</v>
      </c>
      <c r="AM19" s="1">
        <f>0</f>
        <v>0</v>
      </c>
    </row>
    <row r="20" ht="24.0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</row>
    <row r="21" ht="24.0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</row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rintOptions/>
  <pageMargins bottom="0.75" footer="0.0" header="0.0" left="0.7" right="0.7" top="0.75"/>
  <pageSetup orientation="landscape"/>
  <drawing r:id="rId1"/>
</worksheet>
</file>